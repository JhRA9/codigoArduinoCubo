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ys\OneDrive\Documentos\Tareas\Gestion de proyectos\Proyecto\Documentacion\"/>
    </mc:Choice>
  </mc:AlternateContent>
  <xr:revisionPtr revIDLastSave="0" documentId="13_ncr:1_{5A70446A-BED9-4410-B0FE-50EE1B248EA0}" xr6:coauthVersionLast="47" xr6:coauthVersionMax="47" xr10:uidLastSave="{00000000-0000-0000-0000-000000000000}"/>
  <bookViews>
    <workbookView xWindow="-120" yWindow="-120" windowWidth="38640" windowHeight="21120" xr2:uid="{564D20E6-24AA-45FB-B397-964AC7E29BA8}"/>
  </bookViews>
  <sheets>
    <sheet name="Presupue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1" l="1"/>
  <c r="I94" i="1"/>
  <c r="I95" i="1"/>
  <c r="I96" i="1"/>
  <c r="I97" i="1"/>
  <c r="I98" i="1"/>
  <c r="I93" i="1"/>
  <c r="I89" i="1"/>
  <c r="I90" i="1"/>
  <c r="I91" i="1"/>
  <c r="I88" i="1"/>
  <c r="I87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N73" i="1"/>
  <c r="G56" i="1"/>
  <c r="G87" i="1"/>
  <c r="G49" i="1"/>
  <c r="I49" i="1" s="1"/>
  <c r="I43" i="1"/>
  <c r="I44" i="1"/>
  <c r="I45" i="1"/>
  <c r="I46" i="1"/>
  <c r="I47" i="1"/>
  <c r="I48" i="1"/>
  <c r="S44" i="1"/>
  <c r="S43" i="1"/>
  <c r="S42" i="1"/>
  <c r="I42" i="1"/>
  <c r="S41" i="1"/>
  <c r="G41" i="1"/>
  <c r="I41" i="1" s="1"/>
  <c r="G28" i="1"/>
  <c r="G22" i="1"/>
  <c r="G12" i="1"/>
  <c r="I12" i="1" s="1"/>
  <c r="G4" i="1"/>
  <c r="I8" i="1"/>
  <c r="I9" i="1"/>
  <c r="I10" i="1"/>
  <c r="I11" i="1"/>
  <c r="I7" i="1"/>
  <c r="I6" i="1"/>
  <c r="I5" i="1"/>
  <c r="Q52" i="1" l="1"/>
  <c r="I56" i="1"/>
  <c r="S45" i="1"/>
  <c r="Q53" i="1" s="1"/>
  <c r="S4" i="1"/>
  <c r="S5" i="1"/>
  <c r="S6" i="1"/>
  <c r="S7" i="1"/>
  <c r="I28" i="1"/>
  <c r="N28" i="1"/>
  <c r="I22" i="1"/>
  <c r="I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4" i="1"/>
  <c r="I99" i="1" l="1"/>
  <c r="I33" i="1"/>
  <c r="Q14" i="1" s="1"/>
  <c r="S8" i="1"/>
  <c r="Q16" i="1" s="1"/>
  <c r="N29" i="1"/>
  <c r="Q15" i="1" s="1"/>
  <c r="Q54" i="1" l="1"/>
  <c r="Q51" i="1"/>
  <c r="Q17" i="1"/>
  <c r="Q18" i="1" s="1"/>
  <c r="Q55" i="1" l="1"/>
</calcChain>
</file>

<file path=xl/sharedStrings.xml><?xml version="1.0" encoding="utf-8"?>
<sst xmlns="http://schemas.openxmlformats.org/spreadsheetml/2006/main" count="377" uniqueCount="225">
  <si>
    <t>Nombre de la tarea</t>
  </si>
  <si>
    <t>Asignado a</t>
  </si>
  <si>
    <t>Fecha  inicio</t>
  </si>
  <si>
    <t>Fecha fin</t>
  </si>
  <si>
    <t>Concepción e Inicio del Proyecto</t>
  </si>
  <si>
    <t>1.1.1</t>
  </si>
  <si>
    <t>1.1.2</t>
  </si>
  <si>
    <t>1.2.1</t>
  </si>
  <si>
    <t>Definición y Planificación del Proyecto</t>
  </si>
  <si>
    <t>2.1.1</t>
  </si>
  <si>
    <t>2.1.2</t>
  </si>
  <si>
    <t>2.3.1</t>
  </si>
  <si>
    <t>2.3.2</t>
  </si>
  <si>
    <t>Lanzamiento y Ejecución del Proyecto</t>
  </si>
  <si>
    <t>3.1.1</t>
  </si>
  <si>
    <t>3.1.2</t>
  </si>
  <si>
    <t>3.1.3</t>
  </si>
  <si>
    <t>3.2.1</t>
  </si>
  <si>
    <t>3.2.2</t>
  </si>
  <si>
    <t>Desempeño / Monitoreo del Proyecto</t>
  </si>
  <si>
    <t>4.1.1</t>
  </si>
  <si>
    <t>4.1.2</t>
  </si>
  <si>
    <t>Costo por hora</t>
  </si>
  <si>
    <t>Total costo de la tarea</t>
  </si>
  <si>
    <t># Fase</t>
  </si>
  <si>
    <t>Material</t>
  </si>
  <si>
    <t>Costo de unidad</t>
  </si>
  <si>
    <t>Total costo</t>
  </si>
  <si>
    <t>Tabla de costos de materiales</t>
  </si>
  <si>
    <t>Microcontrolador 74HCT125 – Adaptador nivel lógico</t>
  </si>
  <si>
    <t>Microcontrolador SN74HCT14N DIP‑14 – Estabilizador señal</t>
  </si>
  <si>
    <t>Raspberry Pi 4 – 4GB RAM</t>
  </si>
  <si>
    <t>Alambre cobre 22 AWG – 70 m</t>
  </si>
  <si>
    <t>Alambre cobre 0.5 mm – 5.5 m</t>
  </si>
  <si>
    <t>Cable silicona 16 AWG – 10 m</t>
  </si>
  <si>
    <t>Cable silicona 26 AWG – 5 m</t>
  </si>
  <si>
    <t>Mini cortador de pernos</t>
  </si>
  <si>
    <t>Alicate de precisión</t>
  </si>
  <si>
    <t>Soldador eléctrico punta fina</t>
  </si>
  <si>
    <t>Estaño para soldadura 50 g</t>
  </si>
  <si>
    <t>Taladro eléctrico</t>
  </si>
  <si>
    <t>Mini micrófono USB</t>
  </si>
  <si>
    <t>Molde conexión LEDs</t>
  </si>
  <si>
    <t>Molde conexión filas LEDs</t>
  </si>
  <si>
    <t>Fuente alimentación 5V 40A</t>
  </si>
  <si>
    <t>Cable dúplex con clavija</t>
  </si>
  <si>
    <t>Portafusibles (8 unidades)</t>
  </si>
  <si>
    <t>Fusibles 4A (8 unidades)</t>
  </si>
  <si>
    <t>Módulo reductor XL4015 DC‑DC</t>
  </si>
  <si>
    <t>Condensadores cerámicos 100nF (100 unidades)</t>
  </si>
  <si>
    <t>Arduino Mega 2560</t>
  </si>
  <si>
    <t>Cantidad</t>
  </si>
  <si>
    <t>Total</t>
  </si>
  <si>
    <t>Horas</t>
  </si>
  <si>
    <t>Tabla de costos del area administrativa</t>
  </si>
  <si>
    <t>Concepto</t>
  </si>
  <si>
    <t>Arriendo local</t>
  </si>
  <si>
    <t>Meses</t>
  </si>
  <si>
    <t>Costo</t>
  </si>
  <si>
    <t>Total del costo</t>
  </si>
  <si>
    <t>Tabla de costos total</t>
  </si>
  <si>
    <t xml:space="preserve">Presupuesto del proyecto 
de software </t>
  </si>
  <si>
    <t>Presupuesto de los materiales del cubo</t>
  </si>
  <si>
    <t>Internet</t>
  </si>
  <si>
    <t>Luz</t>
  </si>
  <si>
    <t>Agua (recibo por 2 meses(</t>
  </si>
  <si>
    <t>Gasto</t>
  </si>
  <si>
    <t>Presupuesto del 
gasto administrativo</t>
  </si>
  <si>
    <t>Contingencia (del 10%)</t>
  </si>
  <si>
    <t>LED RGB direccionable PL9823‑F5 (bolsa 40 unidades)</t>
  </si>
  <si>
    <t>LED RGB direccionable PL9823‑F5 (bolsa de 500 unidades)</t>
  </si>
  <si>
    <t>Identificar funcionalidades del software</t>
  </si>
  <si>
    <t>Definir limitaciones tecnicas</t>
  </si>
  <si>
    <t>Analizar memoria y pines del Arduino</t>
  </si>
  <si>
    <t>Disenar flujo general del programa</t>
  </si>
  <si>
    <t>Disenar estructura de matriz 8x8x8</t>
  </si>
  <si>
    <t>Disenar funciones basicas de control</t>
  </si>
  <si>
    <t>Disenar funciones de figuras 2D y 3D</t>
  </si>
  <si>
    <t>Configurar entorno y librerias</t>
  </si>
  <si>
    <t>Programar control individual de LEDs</t>
  </si>
  <si>
    <t>Implementar manejo matricial 3D</t>
  </si>
  <si>
    <t>Programar animaciones basicas</t>
  </si>
  <si>
    <t>Optimizar temporizacion y rendimiento</t>
  </si>
  <si>
    <t>Documentar codigo y entregar version final</t>
  </si>
  <si>
    <t>Identificar interesados del proyecto</t>
  </si>
  <si>
    <t>Definir objetivo del proyecto</t>
  </si>
  <si>
    <t>1.1.3</t>
  </si>
  <si>
    <t>Levantar requerimientos del sistema</t>
  </si>
  <si>
    <t>1.1.4</t>
  </si>
  <si>
    <t>Establecer alcance del proyecto</t>
  </si>
  <si>
    <t>Ingeniero industrial junior</t>
  </si>
  <si>
    <t>1.1.5</t>
  </si>
  <si>
    <t>Ingeniero software junior</t>
  </si>
  <si>
    <t>1.1.6</t>
  </si>
  <si>
    <t>Ingeniero electronico junior</t>
  </si>
  <si>
    <t>Desarrollador de software, ingeniero electronico e ingeniero industrial</t>
  </si>
  <si>
    <t>Elaborar EDT del proyecto</t>
  </si>
  <si>
    <t>Construir cronograma del proyecto</t>
  </si>
  <si>
    <t>2.1.3</t>
  </si>
  <si>
    <t>Asignar responsables por tarea</t>
  </si>
  <si>
    <t>2.1.4</t>
  </si>
  <si>
    <t>Estimar recursos necesarios</t>
  </si>
  <si>
    <t>2.1.5</t>
  </si>
  <si>
    <t>Estimar costos y presupuesto</t>
  </si>
  <si>
    <t>2.2.1</t>
  </si>
  <si>
    <t>2.2.2</t>
  </si>
  <si>
    <t>Desarrollador de software</t>
  </si>
  <si>
    <t>Seguimiento al avance del proyecto</t>
  </si>
  <si>
    <t>Realizar pruebas individuales e integracion</t>
  </si>
  <si>
    <t>4.1.3</t>
  </si>
  <si>
    <t>4.1.4</t>
  </si>
  <si>
    <t>Elaborar informe final del proyecto</t>
  </si>
  <si>
    <t>Ingeniero software junior
Ingeniero electronico junior</t>
  </si>
  <si>
    <t>Portatil desarrollo economico Intel Core i3 
8GB RAM, SSD 256GB, pantalla 15 pulgadas</t>
  </si>
  <si>
    <t>PRESUPUESTO ACTUAL</t>
  </si>
  <si>
    <t>PRESUPUESTO INICIAL DEL PROYECTO SOFTWARE ARDUINO CUBO DE LEDS RGB</t>
  </si>
  <si>
    <t>Concepcion e Inicio del Proyecto</t>
  </si>
  <si>
    <t>Equipo completo</t>
  </si>
  <si>
    <t>Diseñar flujo general del programa</t>
  </si>
  <si>
    <t>Soldar linea de datos entre paneles</t>
  </si>
  <si>
    <t>Soldar VCC y GND horizontales</t>
  </si>
  <si>
    <t>Soldar VCC y GND verticales</t>
  </si>
  <si>
    <t>3.2.3</t>
  </si>
  <si>
    <t>3.2.4</t>
  </si>
  <si>
    <t>Desarrollo sistema de voz e IA</t>
  </si>
  <si>
    <t>5.1</t>
  </si>
  <si>
    <t>Configurar Raspberry Pi</t>
  </si>
  <si>
    <t>5.2</t>
  </si>
  <si>
    <t>Implementar reconocimiento de voz</t>
  </si>
  <si>
    <t>5.3</t>
  </si>
  <si>
    <t>5.4</t>
  </si>
  <si>
    <t>5.5</t>
  </si>
  <si>
    <t>Pruebas sistema completo</t>
  </si>
  <si>
    <t>5.6</t>
  </si>
  <si>
    <t>Ajustes finales y demo</t>
  </si>
  <si>
    <t>Cierre del sistema embebido Arduino y Cubo</t>
  </si>
  <si>
    <t>Seguimiento final del avance del hardware</t>
  </si>
  <si>
    <t>Pruebas integradas Arduino + Cubo</t>
  </si>
  <si>
    <t>Documentar codigo Arduino</t>
  </si>
  <si>
    <t>Construir molde de LEDs</t>
  </si>
  <si>
    <t>Construir molde estructural</t>
  </si>
  <si>
    <t>Cortar tramos de alambre</t>
  </si>
  <si>
    <t>Soldar paneles LED (8x8)</t>
  </si>
  <si>
    <t>3.2.5</t>
  </si>
  <si>
    <t>3.2.6</t>
  </si>
  <si>
    <t>Diseñar base y tapa acrilica</t>
  </si>
  <si>
    <t>3.2.7</t>
  </si>
  <si>
    <t>Gestionar proveedor de acrilicos</t>
  </si>
  <si>
    <t>3.2.8</t>
  </si>
  <si>
    <t>Fabricacion de base acrilica negra</t>
  </si>
  <si>
    <t>Proveedor</t>
  </si>
  <si>
    <t>3.2.9</t>
  </si>
  <si>
    <t>Fabricacion de tapa acrilica transparente</t>
  </si>
  <si>
    <t>3.2.10</t>
  </si>
  <si>
    <t>Pintar panel 1</t>
  </si>
  <si>
    <t>3.2.11</t>
  </si>
  <si>
    <t>Pintar panel 2</t>
  </si>
  <si>
    <t>3.2.12</t>
  </si>
  <si>
    <t>Pintar panel 3</t>
  </si>
  <si>
    <t>3.2.13</t>
  </si>
  <si>
    <t>Pintar panel 4</t>
  </si>
  <si>
    <t>3.2.14</t>
  </si>
  <si>
    <t>Pintar panel 5</t>
  </si>
  <si>
    <t>3.2.15</t>
  </si>
  <si>
    <t>Pintar panel 6</t>
  </si>
  <si>
    <t>3.2.16</t>
  </si>
  <si>
    <t>Pintar panel 7</t>
  </si>
  <si>
    <t>3.2.17</t>
  </si>
  <si>
    <t>Pintar panel 8</t>
  </si>
  <si>
    <t>3.2.18</t>
  </si>
  <si>
    <t>Pruebas electricas de paneles pintados</t>
  </si>
  <si>
    <t>3.2.19</t>
  </si>
  <si>
    <t>Correccion de fallas de transmision</t>
  </si>
  <si>
    <t>3.2.20</t>
  </si>
  <si>
    <t>Buscar material para soportes transparentes</t>
  </si>
  <si>
    <t>3.2.21</t>
  </si>
  <si>
    <t>Fabricacion de soportes transparentes internos</t>
  </si>
  <si>
    <t>3.2.22</t>
  </si>
  <si>
    <t>Perforar soportes transparentes</t>
  </si>
  <si>
    <t>3.2.23</t>
  </si>
  <si>
    <t>Compra de tornillos prisioneros M3</t>
  </si>
  <si>
    <t>3.2.24</t>
  </si>
  <si>
    <t>Verificar ajuste de soportes y tornillos</t>
  </si>
  <si>
    <t>3.2.25</t>
  </si>
  <si>
    <t>Instalacion de soportes internos</t>
  </si>
  <si>
    <t>3.2.26</t>
  </si>
  <si>
    <t>Montaje mecanico del cubo</t>
  </si>
  <si>
    <t>3.2.27</t>
  </si>
  <si>
    <t>Conexion electrica final del cubo</t>
  </si>
  <si>
    <t>3.2.28</t>
  </si>
  <si>
    <t>Verificacion estructural y ajustes finales</t>
  </si>
  <si>
    <t>LED RGB direccionable PL9823-F5 (bolsa de 500 unidades)</t>
  </si>
  <si>
    <t>LED RGB direccionable PL9823-F5 (bolsa 40 unidades)</t>
  </si>
  <si>
    <t>LED RGB direccionable PL9823-F5 (bolsa 20 unidades)</t>
  </si>
  <si>
    <t>Microcontrolador 74HCT125</t>
  </si>
  <si>
    <t>Microcontrolador SN74HCT14N</t>
  </si>
  <si>
    <t>Raspberry Pi 4 - 4GB RAM</t>
  </si>
  <si>
    <t>Alambre cobre 22 AWG - 70 m</t>
  </si>
  <si>
    <t>Alambre cobre 0.5 mm - 5.5 m</t>
  </si>
  <si>
    <t>Cable silicona 16 AWG - 10 m</t>
  </si>
  <si>
    <t>Cable silicona 26 AWG - 5 m</t>
  </si>
  <si>
    <t>Alicate de precision</t>
  </si>
  <si>
    <t>Soldador electrico punta fina</t>
  </si>
  <si>
    <t>Taladro electrico</t>
  </si>
  <si>
    <t>Mini microfono USB</t>
  </si>
  <si>
    <t>Molde conexion LEDs</t>
  </si>
  <si>
    <t>Molde conexion filas LEDs</t>
  </si>
  <si>
    <t>Fuente alimentacion 5V 40A</t>
  </si>
  <si>
    <t>Cable duplex con clavija</t>
  </si>
  <si>
    <t>Modulo reductor XL4015 DC-DC</t>
  </si>
  <si>
    <t>Condensadores ceramicos 100nF (100 unidades)</t>
  </si>
  <si>
    <t>Portatil desarrollo economico Intel Core i3</t>
  </si>
  <si>
    <t>Acrilico negro 3 mm (base)</t>
  </si>
  <si>
    <t>Acrilico transparente 3 mm (tapa)</t>
  </si>
  <si>
    <t>Diseño y corte de acrilico</t>
  </si>
  <si>
    <t>Soportes transparentes internos (estimado)</t>
  </si>
  <si>
    <t>Tornillos prisioneros M3 (estimado)</t>
  </si>
  <si>
    <t xml:space="preserve">Total </t>
  </si>
  <si>
    <t>Presupuesto del proyecto de software</t>
  </si>
  <si>
    <t>Presupuesto del gasto administrativo</t>
  </si>
  <si>
    <t>Contingencia (10%)</t>
  </si>
  <si>
    <t>Ingeniero software junior / Ingeniero electronico junior</t>
  </si>
  <si>
    <t>Informe parcial avance funcional del cubo</t>
  </si>
  <si>
    <t>Procesamiento de comandos NLP</t>
  </si>
  <si>
    <t>Integracion de voz con Raspberry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</si>
</sst>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164" formatCode="mm/dd"/>
    <numFmt numFmtId="165" formatCode="&quot;$&quot;\ #,##0"/>
    <numFmt numFmtId="166" formatCode="&quot;$&quot;\ #,##0.00"/>
  </numFmts>
  <fonts count="9" x14ac:knownFonts="1">
    <font>
      <sz val="11"/>
      <color theme="1"/>
      <name val="Aptos Narrow"/>
      <family val="2"/>
      <scheme val="minor"/>
    </font>
    <font>
      <b/>
      <sz val="28"/>
      <color rgb="FF001033"/>
      <name val="Century Gothic"/>
      <family val="1"/>
    </font>
    <font>
      <sz val="10"/>
      <color theme="1"/>
      <name val="Century Gothic"/>
      <family val="1"/>
    </font>
    <font>
      <b/>
      <sz val="11"/>
      <color rgb="FF001033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0"/>
      <color theme="0"/>
      <name val="Century Gothic"/>
      <family val="1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1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0" fontId="3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166" fontId="6" fillId="6" borderId="1" xfId="0" applyNumberFormat="1" applyFont="1" applyFill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 wrapText="1" readingOrder="1"/>
    </xf>
    <xf numFmtId="166" fontId="6" fillId="8" borderId="1" xfId="0" applyNumberFormat="1" applyFont="1" applyFill="1" applyBorder="1" applyAlignment="1">
      <alignment horizontal="center" vertical="center" wrapText="1" readingOrder="1"/>
    </xf>
    <xf numFmtId="166" fontId="0" fillId="0" borderId="0" xfId="0" applyNumberFormat="1"/>
    <xf numFmtId="165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 readingOrder="1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 readingOrder="1"/>
    </xf>
    <xf numFmtId="0" fontId="6" fillId="8" borderId="1" xfId="0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 readingOrder="1"/>
    </xf>
    <xf numFmtId="164" fontId="6" fillId="8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0" fontId="0" fillId="0" borderId="3" xfId="0" applyBorder="1" applyAlignment="1">
      <alignment horizontal="center" vertical="center" wrapText="1"/>
    </xf>
    <xf numFmtId="14" fontId="0" fillId="0" borderId="0" xfId="0" applyNumberFormat="1"/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vertical="center" wrapText="1"/>
    </xf>
    <xf numFmtId="164" fontId="6" fillId="9" borderId="1" xfId="0" applyNumberFormat="1" applyFont="1" applyFill="1" applyBorder="1" applyAlignment="1">
      <alignment horizontal="center" vertical="center" wrapText="1" readingOrder="1"/>
    </xf>
    <xf numFmtId="1" fontId="6" fillId="9" borderId="1" xfId="0" applyNumberFormat="1" applyFont="1" applyFill="1" applyBorder="1" applyAlignment="1">
      <alignment horizontal="center" vertical="center" wrapText="1" readingOrder="1"/>
    </xf>
    <xf numFmtId="166" fontId="6" fillId="9" borderId="1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horizontal="right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 readingOrder="1"/>
    </xf>
    <xf numFmtId="14" fontId="6" fillId="6" borderId="1" xfId="0" applyNumberFormat="1" applyFont="1" applyFill="1" applyBorder="1" applyAlignment="1">
      <alignment horizontal="center" vertical="center" wrapText="1" readingOrder="1"/>
    </xf>
    <xf numFmtId="14" fontId="6" fillId="6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6" fillId="7" borderId="1" xfId="0" applyNumberFormat="1" applyFont="1" applyFill="1" applyBorder="1" applyAlignment="1">
      <alignment horizontal="center" vertical="center" wrapText="1" readingOrder="1"/>
    </xf>
    <xf numFmtId="14" fontId="6" fillId="7" borderId="1" xfId="0" applyNumberFormat="1" applyFont="1" applyFill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center" vertical="center" wrapText="1" readingOrder="1"/>
    </xf>
    <xf numFmtId="14" fontId="6" fillId="8" borderId="1" xfId="0" applyNumberFormat="1" applyFont="1" applyFill="1" applyBorder="1" applyAlignment="1">
      <alignment horizontal="center" vertical="center" wrapText="1"/>
    </xf>
    <xf numFmtId="14" fontId="6" fillId="9" borderId="1" xfId="0" applyNumberFormat="1" applyFont="1" applyFill="1" applyBorder="1" applyAlignment="1">
      <alignment horizontal="center" vertical="center" wrapText="1" readingOrder="1"/>
    </xf>
    <xf numFmtId="14" fontId="6" fillId="9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 vertical="center" wrapText="1"/>
    </xf>
    <xf numFmtId="14" fontId="8" fillId="0" borderId="0" xfId="0" applyNumberFormat="1" applyFont="1" applyAlignment="1">
      <alignment horizontal="center" vertical="center" wrapText="1"/>
    </xf>
    <xf numFmtId="6" fontId="8" fillId="0" borderId="0" xfId="0" applyNumberFormat="1" applyFont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2">
    <dxf>
      <numFmt numFmtId="166" formatCode="&quot;$&quot;\ #,##0.00"/>
    </dxf>
    <dxf>
      <alignment horizontal="center" vertical="center" textRotation="0" wrapText="1" indent="0" justifyLastLine="0" shrinkToFit="0" readingOrder="0"/>
    </dxf>
    <dxf>
      <numFmt numFmtId="165" formatCode="&quot;$&quot;\ 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&quot;$&quot;\ 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$&quot;\ 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&quot;$&quot;\ #,##0.00"/>
    </dxf>
    <dxf>
      <alignment horizontal="center" vertical="center" textRotation="0" wrapText="1" indent="0" justifyLastLine="0" shrinkToFit="0" readingOrder="0"/>
    </dxf>
    <dxf>
      <numFmt numFmtId="165" formatCode="&quot;$&quot;\ 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&quot;$&quot;\ 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$&quot;\ 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D50CA-AFCF-448B-A9C8-8AF5F179427D}" name="Tabla1" displayName="Tabla1" ref="K3:N29" totalsRowShown="0" headerRowDxfId="31" dataDxfId="29" headerRowBorderDxfId="30" tableBorderDxfId="28" totalsRowBorderDxfId="27">
  <autoFilter ref="K3:N29" xr:uid="{4BED50CA-AFCF-448B-A9C8-8AF5F179427D}"/>
  <tableColumns count="4">
    <tableColumn id="1" xr3:uid="{D5482CC9-C1C0-47A9-90FC-FB21B5F402C7}" name="Material" dataDxfId="26"/>
    <tableColumn id="2" xr3:uid="{26EFE165-380D-49CB-927D-ACD394835896}" name="Cantidad" dataDxfId="25"/>
    <tableColumn id="3" xr3:uid="{820AECB3-5D78-48F8-8CE8-4B3E2BBC7F71}" name="Costo de unidad" dataDxfId="24"/>
    <tableColumn id="4" xr3:uid="{852C8C41-7E7A-426D-BFF6-10D432A143DD}" name="Total costo" dataDxfId="2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18CF97-5066-4A67-8831-8BDBF36545DA}" name="Tabla2" displayName="Tabla2" ref="P3:S8" totalsRowShown="0" headerRowDxfId="22">
  <autoFilter ref="P3:S8" xr:uid="{8818CF97-5066-4A67-8831-8BDBF36545DA}"/>
  <tableColumns count="4">
    <tableColumn id="1" xr3:uid="{F1DA0F0F-5367-4E62-8F26-63906B998434}" name="Concepto" dataDxfId="21"/>
    <tableColumn id="2" xr3:uid="{E8EF4138-396E-4BD9-AFAF-68C09328CD11}" name="Meses" dataDxfId="20"/>
    <tableColumn id="3" xr3:uid="{3995E363-F5A4-4E4C-A5D2-AA449EF3D901}" name="Gasto" dataDxfId="19"/>
    <tableColumn id="4" xr3:uid="{CC989398-AC8E-4F82-AB40-DFD69B3ACC26}" name="Total del costo" dataDxfId="18">
      <calculatedColumnFormula>Q4*R4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374E0D-9DCA-4F48-9263-80E8DA98E7B5}" name="Tabla3" displayName="Tabla3" ref="P13:Q18" totalsRowShown="0">
  <autoFilter ref="P13:Q18" xr:uid="{16374E0D-9DCA-4F48-9263-80E8DA98E7B5}"/>
  <tableColumns count="2">
    <tableColumn id="1" xr3:uid="{0AB2852D-27BE-4BFD-81DB-AF7FB6BE221C}" name="Concepto" dataDxfId="17"/>
    <tableColumn id="2" xr3:uid="{E0D5287E-3FD9-42DE-9545-00A412302240}" name="Costo" dataDxfId="16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72FE4A-621C-4B59-AE3B-47F219EB577A}" name="Tabla15" displayName="Tabla15" ref="K40:N73" totalsRowShown="0" headerRowDxfId="15" dataDxfId="13" headerRowBorderDxfId="14" tableBorderDxfId="12" totalsRowBorderDxfId="11">
  <autoFilter ref="K40:N73" xr:uid="{A872FE4A-621C-4B59-AE3B-47F219EB577A}"/>
  <tableColumns count="4">
    <tableColumn id="1" xr3:uid="{C5B1AFFE-A438-4693-9CF5-5B92556019A0}" name="Material" dataDxfId="10"/>
    <tableColumn id="2" xr3:uid="{BD40AE33-CBC6-460F-B631-FA3D784B00EE}" name="Cantidad" dataDxfId="9"/>
    <tableColumn id="3" xr3:uid="{478D2D49-5A9A-4A5C-B948-EECAC6637011}" name="Costo de unidad" dataDxfId="8"/>
    <tableColumn id="4" xr3:uid="{1EFF1A18-2E71-452F-BA7F-C590B4D0E48D}" name="Total costo" dataDxfId="7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C8777C-BF1D-4D65-9AB8-E71BFC7D4E39}" name="Tabla26" displayName="Tabla26" ref="P40:S45" totalsRowShown="0" headerRowDxfId="6">
  <autoFilter ref="P40:S45" xr:uid="{97C8777C-BF1D-4D65-9AB8-E71BFC7D4E39}"/>
  <tableColumns count="4">
    <tableColumn id="1" xr3:uid="{13574D5D-5110-45E3-893E-7860D9375B40}" name="Concepto" dataDxfId="5"/>
    <tableColumn id="2" xr3:uid="{5010AC94-C2B4-40F3-AE4A-C31B8D491D55}" name="Meses" dataDxfId="4"/>
    <tableColumn id="3" xr3:uid="{E6980A06-6A14-4F3D-A27B-0F593A7EA723}" name="Gasto" dataDxfId="3"/>
    <tableColumn id="4" xr3:uid="{F1F0F5EA-C848-4240-B000-ACB98A945CEB}" name="Total del costo" dataDxfId="2">
      <calculatedColumnFormula>Q41*R41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F68C5F-1E02-49B0-9790-CA5569E2D2F8}" name="Tabla37" displayName="Tabla37" ref="P50:Q55" totalsRowShown="0">
  <autoFilter ref="P50:Q55" xr:uid="{33F68C5F-1E02-49B0-9790-CA5569E2D2F8}"/>
  <tableColumns count="2">
    <tableColumn id="1" xr3:uid="{E5A1C6FF-ABF0-46DD-B6FF-1764C434A6C1}" name="Concepto" dataDxfId="1"/>
    <tableColumn id="2" xr3:uid="{EFA01F5B-97D1-4994-ADD5-058A33597CD4}" name="Costo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E209-0AE6-487E-8325-7BFDA245AC76}">
  <dimension ref="A1:S133"/>
  <sheetViews>
    <sheetView tabSelected="1" topLeftCell="A47" zoomScale="85" zoomScaleNormal="85" workbookViewId="0">
      <selection activeCell="G93" sqref="G93"/>
    </sheetView>
  </sheetViews>
  <sheetFormatPr baseColWidth="10" defaultRowHeight="15" x14ac:dyDescent="0.25"/>
  <cols>
    <col min="1" max="1" width="3.85546875" customWidth="1"/>
    <col min="2" max="2" width="9" customWidth="1"/>
    <col min="3" max="3" width="65.140625" bestFit="1" customWidth="1"/>
    <col min="4" max="4" width="37" bestFit="1" customWidth="1"/>
    <col min="5" max="6" width="23.85546875" customWidth="1"/>
    <col min="7" max="7" width="17.42578125" customWidth="1"/>
    <col min="8" max="8" width="18.140625" customWidth="1"/>
    <col min="9" max="9" width="17.28515625" customWidth="1"/>
    <col min="10" max="10" width="14.7109375" customWidth="1"/>
    <col min="11" max="11" width="54" bestFit="1" customWidth="1"/>
    <col min="12" max="12" width="15.28515625" bestFit="1" customWidth="1"/>
    <col min="13" max="13" width="18.42578125" customWidth="1"/>
    <col min="14" max="14" width="13.140625" bestFit="1" customWidth="1"/>
    <col min="16" max="16" width="22.7109375" bestFit="1" customWidth="1"/>
    <col min="17" max="17" width="17.85546875" customWidth="1"/>
    <col min="18" max="18" width="12" customWidth="1"/>
    <col min="19" max="19" width="16" customWidth="1"/>
  </cols>
  <sheetData>
    <row r="1" spans="1:19" ht="34.5" x14ac:dyDescent="0.25">
      <c r="A1" s="4" t="s">
        <v>115</v>
      </c>
      <c r="B1" s="4"/>
      <c r="C1" s="4"/>
      <c r="D1" s="4"/>
      <c r="E1" s="4"/>
      <c r="F1" s="4"/>
      <c r="G1" s="4"/>
      <c r="H1" s="4"/>
      <c r="I1" s="4"/>
    </row>
    <row r="2" spans="1:19" x14ac:dyDescent="0.25">
      <c r="B2" s="89"/>
      <c r="C2" s="89"/>
      <c r="D2" s="89"/>
      <c r="E2" s="89"/>
      <c r="F2" s="89"/>
      <c r="G2" s="89"/>
      <c r="H2" s="89"/>
      <c r="I2" s="89"/>
      <c r="K2" s="90" t="s">
        <v>28</v>
      </c>
      <c r="L2" s="90"/>
      <c r="M2" s="90"/>
      <c r="N2" s="90"/>
      <c r="P2" s="90" t="s">
        <v>54</v>
      </c>
      <c r="Q2" s="90"/>
      <c r="R2" s="90"/>
      <c r="S2" s="90"/>
    </row>
    <row r="3" spans="1:19" ht="28.5" x14ac:dyDescent="0.25">
      <c r="B3" s="14" t="s">
        <v>24</v>
      </c>
      <c r="C3" s="14" t="s">
        <v>0</v>
      </c>
      <c r="D3" s="14" t="s">
        <v>1</v>
      </c>
      <c r="E3" s="15" t="s">
        <v>2</v>
      </c>
      <c r="F3" s="15" t="s">
        <v>3</v>
      </c>
      <c r="G3" s="16" t="s">
        <v>53</v>
      </c>
      <c r="H3" s="16" t="s">
        <v>22</v>
      </c>
      <c r="I3" s="14" t="s">
        <v>23</v>
      </c>
      <c r="K3" s="6" t="s">
        <v>25</v>
      </c>
      <c r="L3" s="7" t="s">
        <v>51</v>
      </c>
      <c r="M3" s="7" t="s">
        <v>26</v>
      </c>
      <c r="N3" s="8" t="s">
        <v>27</v>
      </c>
      <c r="P3" s="2" t="s">
        <v>55</v>
      </c>
      <c r="Q3" s="2" t="s">
        <v>57</v>
      </c>
      <c r="R3" s="2" t="s">
        <v>66</v>
      </c>
      <c r="S3" s="2" t="s">
        <v>59</v>
      </c>
    </row>
    <row r="4" spans="1:19" ht="60.75" customHeight="1" x14ac:dyDescent="0.25">
      <c r="A4" s="1"/>
      <c r="B4" s="58">
        <v>1</v>
      </c>
      <c r="C4" s="53" t="s">
        <v>4</v>
      </c>
      <c r="D4" s="59" t="s">
        <v>95</v>
      </c>
      <c r="E4" s="51">
        <v>46067</v>
      </c>
      <c r="F4" s="51">
        <v>46088</v>
      </c>
      <c r="G4" s="17">
        <f>SUM(G5:G11)</f>
        <v>92</v>
      </c>
      <c r="H4" s="18">
        <v>30000</v>
      </c>
      <c r="I4" s="18">
        <f>G4*H4</f>
        <v>2760000</v>
      </c>
      <c r="K4" s="3" t="s">
        <v>70</v>
      </c>
      <c r="L4" s="5">
        <v>1</v>
      </c>
      <c r="M4" s="28">
        <v>238823</v>
      </c>
      <c r="N4" s="29">
        <f>L4*M4</f>
        <v>238823</v>
      </c>
      <c r="P4" s="2" t="s">
        <v>56</v>
      </c>
      <c r="Q4" s="2">
        <v>4</v>
      </c>
      <c r="R4" s="11">
        <v>1500000</v>
      </c>
      <c r="S4" s="11">
        <f>Q4*R4</f>
        <v>6000000</v>
      </c>
    </row>
    <row r="5" spans="1:19" x14ac:dyDescent="0.25">
      <c r="B5" s="34" t="s">
        <v>5</v>
      </c>
      <c r="C5" s="54" t="s">
        <v>84</v>
      </c>
      <c r="D5" s="39" t="s">
        <v>90</v>
      </c>
      <c r="E5" s="37">
        <v>46067</v>
      </c>
      <c r="F5" s="37">
        <v>46068</v>
      </c>
      <c r="G5" s="5">
        <v>8</v>
      </c>
      <c r="H5" s="38">
        <v>10000</v>
      </c>
      <c r="I5" s="38">
        <f t="shared" ref="I5:I11" si="0">G5*H5</f>
        <v>80000</v>
      </c>
      <c r="K5" s="3" t="s">
        <v>69</v>
      </c>
      <c r="L5" s="5">
        <v>1</v>
      </c>
      <c r="M5" s="28">
        <v>33987</v>
      </c>
      <c r="N5" s="29">
        <f t="shared" ref="N5:N28" si="1">L5*M5</f>
        <v>33987</v>
      </c>
      <c r="P5" s="9" t="s">
        <v>63</v>
      </c>
      <c r="Q5" s="10">
        <v>4</v>
      </c>
      <c r="R5" s="12">
        <v>86000</v>
      </c>
      <c r="S5" s="13">
        <f>Q5*R5</f>
        <v>344000</v>
      </c>
    </row>
    <row r="6" spans="1:19" x14ac:dyDescent="0.25">
      <c r="B6" s="34" t="s">
        <v>6</v>
      </c>
      <c r="C6" s="54" t="s">
        <v>85</v>
      </c>
      <c r="D6" s="36" t="s">
        <v>90</v>
      </c>
      <c r="E6" s="37">
        <v>46069</v>
      </c>
      <c r="F6" s="37">
        <v>46070</v>
      </c>
      <c r="G6" s="5">
        <v>8</v>
      </c>
      <c r="H6" s="38">
        <v>10000</v>
      </c>
      <c r="I6" s="38">
        <f t="shared" si="0"/>
        <v>80000</v>
      </c>
      <c r="K6" s="3" t="s">
        <v>29</v>
      </c>
      <c r="L6" s="5">
        <v>2</v>
      </c>
      <c r="M6" s="28">
        <v>3659</v>
      </c>
      <c r="N6" s="29">
        <f t="shared" si="1"/>
        <v>7318</v>
      </c>
      <c r="P6" s="9" t="s">
        <v>64</v>
      </c>
      <c r="Q6" s="10">
        <v>4</v>
      </c>
      <c r="R6" s="12">
        <v>120000</v>
      </c>
      <c r="S6" s="13">
        <f>Q6*R6</f>
        <v>480000</v>
      </c>
    </row>
    <row r="7" spans="1:19" x14ac:dyDescent="0.25">
      <c r="B7" s="34" t="s">
        <v>86</v>
      </c>
      <c r="C7" s="54" t="s">
        <v>87</v>
      </c>
      <c r="D7" s="39" t="s">
        <v>90</v>
      </c>
      <c r="E7" s="37">
        <v>46071</v>
      </c>
      <c r="F7" s="37">
        <v>46073</v>
      </c>
      <c r="G7" s="5">
        <v>12</v>
      </c>
      <c r="H7" s="38">
        <v>10000</v>
      </c>
      <c r="I7" s="38">
        <f t="shared" si="0"/>
        <v>120000</v>
      </c>
      <c r="K7" s="3" t="s">
        <v>30</v>
      </c>
      <c r="L7" s="5">
        <v>2</v>
      </c>
      <c r="M7" s="28">
        <v>7786</v>
      </c>
      <c r="N7" s="29">
        <f t="shared" si="1"/>
        <v>15572</v>
      </c>
      <c r="P7" s="9" t="s">
        <v>65</v>
      </c>
      <c r="Q7" s="10">
        <v>2</v>
      </c>
      <c r="R7" s="12">
        <v>200000</v>
      </c>
      <c r="S7" s="13">
        <f>Q7*R7</f>
        <v>400000</v>
      </c>
    </row>
    <row r="8" spans="1:19" x14ac:dyDescent="0.25">
      <c r="B8" s="34" t="s">
        <v>88</v>
      </c>
      <c r="C8" s="54" t="s">
        <v>89</v>
      </c>
      <c r="D8" s="39" t="s">
        <v>90</v>
      </c>
      <c r="E8" s="37">
        <v>46074</v>
      </c>
      <c r="F8" s="37">
        <v>46074</v>
      </c>
      <c r="G8" s="5">
        <v>4</v>
      </c>
      <c r="H8" s="38">
        <v>10000</v>
      </c>
      <c r="I8" s="38">
        <f t="shared" si="0"/>
        <v>40000</v>
      </c>
      <c r="K8" s="3" t="s">
        <v>31</v>
      </c>
      <c r="L8" s="5">
        <v>1</v>
      </c>
      <c r="M8" s="28">
        <v>300000</v>
      </c>
      <c r="N8" s="29">
        <f t="shared" si="1"/>
        <v>300000</v>
      </c>
      <c r="P8" s="9" t="s">
        <v>52</v>
      </c>
      <c r="Q8" s="10"/>
      <c r="R8" s="12"/>
      <c r="S8" s="13">
        <f>S4+S5+S6+S7</f>
        <v>7224000</v>
      </c>
    </row>
    <row r="9" spans="1:19" x14ac:dyDescent="0.25">
      <c r="B9" s="34" t="s">
        <v>91</v>
      </c>
      <c r="C9" s="54" t="s">
        <v>71</v>
      </c>
      <c r="D9" s="36" t="s">
        <v>92</v>
      </c>
      <c r="E9" s="37">
        <v>46074</v>
      </c>
      <c r="F9" s="37">
        <v>46078</v>
      </c>
      <c r="G9" s="5">
        <v>20</v>
      </c>
      <c r="H9" s="38">
        <v>10000</v>
      </c>
      <c r="I9" s="38">
        <f t="shared" si="0"/>
        <v>200000</v>
      </c>
      <c r="K9" s="3" t="s">
        <v>32</v>
      </c>
      <c r="L9" s="5">
        <v>1</v>
      </c>
      <c r="M9" s="28">
        <v>60000</v>
      </c>
      <c r="N9" s="29">
        <f t="shared" si="1"/>
        <v>60000</v>
      </c>
    </row>
    <row r="10" spans="1:19" x14ac:dyDescent="0.25">
      <c r="B10" s="34" t="s">
        <v>93</v>
      </c>
      <c r="C10" s="54" t="s">
        <v>72</v>
      </c>
      <c r="D10" s="39" t="s">
        <v>94</v>
      </c>
      <c r="E10" s="37">
        <v>46079</v>
      </c>
      <c r="F10" s="37">
        <v>46081</v>
      </c>
      <c r="G10" s="5">
        <v>12</v>
      </c>
      <c r="H10" s="38">
        <v>10000</v>
      </c>
      <c r="I10" s="38">
        <f t="shared" si="0"/>
        <v>120000</v>
      </c>
      <c r="K10" s="3" t="s">
        <v>33</v>
      </c>
      <c r="L10" s="5">
        <v>1</v>
      </c>
      <c r="M10" s="28">
        <v>15409</v>
      </c>
      <c r="N10" s="29">
        <f t="shared" si="1"/>
        <v>15409</v>
      </c>
    </row>
    <row r="11" spans="1:19" x14ac:dyDescent="0.25">
      <c r="B11" s="34" t="s">
        <v>7</v>
      </c>
      <c r="C11" s="54" t="s">
        <v>73</v>
      </c>
      <c r="D11" s="39" t="s">
        <v>94</v>
      </c>
      <c r="E11" s="37">
        <v>46082</v>
      </c>
      <c r="F11" s="37">
        <v>46088</v>
      </c>
      <c r="G11" s="5">
        <v>28</v>
      </c>
      <c r="H11" s="38">
        <v>10000</v>
      </c>
      <c r="I11" s="38">
        <f t="shared" si="0"/>
        <v>280000</v>
      </c>
      <c r="K11" s="3" t="s">
        <v>34</v>
      </c>
      <c r="L11" s="5">
        <v>1</v>
      </c>
      <c r="M11" s="28">
        <v>30061</v>
      </c>
      <c r="N11" s="29">
        <f t="shared" si="1"/>
        <v>30061</v>
      </c>
    </row>
    <row r="12" spans="1:19" ht="27" x14ac:dyDescent="0.25">
      <c r="B12" s="40">
        <v>2</v>
      </c>
      <c r="C12" s="55" t="s">
        <v>8</v>
      </c>
      <c r="D12" s="41" t="s">
        <v>95</v>
      </c>
      <c r="E12" s="42">
        <v>46089</v>
      </c>
      <c r="F12" s="41">
        <v>46122</v>
      </c>
      <c r="G12" s="19">
        <f>SUM(G13:G21)</f>
        <v>136</v>
      </c>
      <c r="H12" s="20">
        <v>30000</v>
      </c>
      <c r="I12" s="21">
        <f>G12*H12</f>
        <v>4080000</v>
      </c>
      <c r="K12" s="3" t="s">
        <v>35</v>
      </c>
      <c r="L12" s="5">
        <v>1</v>
      </c>
      <c r="M12" s="28">
        <v>4094</v>
      </c>
      <c r="N12" s="29">
        <f t="shared" si="1"/>
        <v>4094</v>
      </c>
      <c r="P12" s="88" t="s">
        <v>60</v>
      </c>
      <c r="Q12" s="88"/>
    </row>
    <row r="13" spans="1:19" x14ac:dyDescent="0.25">
      <c r="B13" s="34" t="s">
        <v>9</v>
      </c>
      <c r="C13" s="54" t="s">
        <v>96</v>
      </c>
      <c r="D13" s="39" t="s">
        <v>90</v>
      </c>
      <c r="E13" s="37">
        <v>46089</v>
      </c>
      <c r="F13" s="37">
        <v>46090</v>
      </c>
      <c r="G13" s="5">
        <v>8</v>
      </c>
      <c r="H13" s="38">
        <v>10000</v>
      </c>
      <c r="I13" s="38">
        <v>80000</v>
      </c>
      <c r="K13" s="3" t="s">
        <v>36</v>
      </c>
      <c r="L13" s="5">
        <v>1</v>
      </c>
      <c r="M13" s="28">
        <v>45937</v>
      </c>
      <c r="N13" s="29">
        <f t="shared" si="1"/>
        <v>45937</v>
      </c>
      <c r="P13" t="s">
        <v>55</v>
      </c>
      <c r="Q13" t="s">
        <v>58</v>
      </c>
    </row>
    <row r="14" spans="1:19" ht="45" x14ac:dyDescent="0.25">
      <c r="B14" s="34" t="s">
        <v>10</v>
      </c>
      <c r="C14" s="54" t="s">
        <v>97</v>
      </c>
      <c r="D14" s="39" t="s">
        <v>90</v>
      </c>
      <c r="E14" s="37">
        <v>46091</v>
      </c>
      <c r="F14" s="37">
        <v>46092</v>
      </c>
      <c r="G14" s="5">
        <v>8</v>
      </c>
      <c r="H14" s="38">
        <v>10000</v>
      </c>
      <c r="I14" s="38">
        <v>80000</v>
      </c>
      <c r="K14" s="3" t="s">
        <v>37</v>
      </c>
      <c r="L14" s="5">
        <v>1</v>
      </c>
      <c r="M14" s="28">
        <v>10000</v>
      </c>
      <c r="N14" s="29">
        <f t="shared" si="1"/>
        <v>10000</v>
      </c>
      <c r="P14" s="50" t="s">
        <v>61</v>
      </c>
      <c r="Q14" s="26">
        <f>I33</f>
        <v>9520000</v>
      </c>
    </row>
    <row r="15" spans="1:19" ht="30" x14ac:dyDescent="0.25">
      <c r="B15" s="34" t="s">
        <v>98</v>
      </c>
      <c r="C15" s="54" t="s">
        <v>99</v>
      </c>
      <c r="D15" s="39" t="s">
        <v>90</v>
      </c>
      <c r="E15" s="37">
        <v>46093</v>
      </c>
      <c r="F15" s="37">
        <v>46093</v>
      </c>
      <c r="G15" s="5">
        <v>4</v>
      </c>
      <c r="H15" s="38">
        <v>10000</v>
      </c>
      <c r="I15" s="38">
        <v>40000</v>
      </c>
      <c r="K15" s="3" t="s">
        <v>38</v>
      </c>
      <c r="L15" s="5">
        <v>1</v>
      </c>
      <c r="M15" s="28">
        <v>26646</v>
      </c>
      <c r="N15" s="29">
        <f t="shared" si="1"/>
        <v>26646</v>
      </c>
      <c r="P15" s="50" t="s">
        <v>62</v>
      </c>
      <c r="Q15" s="27">
        <f>N29</f>
        <v>2241920</v>
      </c>
    </row>
    <row r="16" spans="1:19" ht="30" x14ac:dyDescent="0.25">
      <c r="B16" s="34" t="s">
        <v>100</v>
      </c>
      <c r="C16" s="54" t="s">
        <v>101</v>
      </c>
      <c r="D16" s="39" t="s">
        <v>90</v>
      </c>
      <c r="E16" s="37">
        <v>46094</v>
      </c>
      <c r="F16" s="43">
        <v>46095</v>
      </c>
      <c r="G16" s="5">
        <v>8</v>
      </c>
      <c r="H16" s="38">
        <v>10000</v>
      </c>
      <c r="I16" s="38">
        <v>80000</v>
      </c>
      <c r="K16" s="3" t="s">
        <v>39</v>
      </c>
      <c r="L16" s="5">
        <v>1</v>
      </c>
      <c r="M16" s="28">
        <v>14334</v>
      </c>
      <c r="N16" s="29">
        <f t="shared" si="1"/>
        <v>14334</v>
      </c>
      <c r="P16" s="50" t="s">
        <v>67</v>
      </c>
      <c r="Q16" s="27">
        <f>S8</f>
        <v>7224000</v>
      </c>
    </row>
    <row r="17" spans="2:17" x14ac:dyDescent="0.25">
      <c r="B17" s="34" t="s">
        <v>102</v>
      </c>
      <c r="C17" s="54" t="s">
        <v>103</v>
      </c>
      <c r="D17" s="39" t="s">
        <v>90</v>
      </c>
      <c r="E17" s="37">
        <v>46096</v>
      </c>
      <c r="F17" s="43">
        <v>46098</v>
      </c>
      <c r="G17" s="5">
        <v>12</v>
      </c>
      <c r="H17" s="38">
        <v>10000</v>
      </c>
      <c r="I17" s="38">
        <v>120000</v>
      </c>
      <c r="K17" s="3" t="s">
        <v>40</v>
      </c>
      <c r="L17" s="5">
        <v>1</v>
      </c>
      <c r="M17" s="28">
        <v>160000</v>
      </c>
      <c r="N17" s="29">
        <f t="shared" si="1"/>
        <v>160000</v>
      </c>
      <c r="P17" s="50" t="s">
        <v>68</v>
      </c>
      <c r="Q17" s="26">
        <f>(Q14+Q15+Q16)*0.1</f>
        <v>1898592</v>
      </c>
    </row>
    <row r="18" spans="2:17" x14ac:dyDescent="0.25">
      <c r="B18" s="34" t="s">
        <v>104</v>
      </c>
      <c r="C18" s="54" t="s">
        <v>74</v>
      </c>
      <c r="D18" s="39" t="s">
        <v>92</v>
      </c>
      <c r="E18" s="37">
        <v>46099</v>
      </c>
      <c r="F18" s="37">
        <v>46106</v>
      </c>
      <c r="G18" s="5">
        <v>32</v>
      </c>
      <c r="H18" s="38">
        <v>10000</v>
      </c>
      <c r="I18" s="38">
        <v>320000</v>
      </c>
      <c r="K18" s="3" t="s">
        <v>41</v>
      </c>
      <c r="L18" s="5">
        <v>1</v>
      </c>
      <c r="M18" s="28">
        <v>5858</v>
      </c>
      <c r="N18" s="29">
        <f t="shared" si="1"/>
        <v>5858</v>
      </c>
      <c r="P18" s="50" t="s">
        <v>52</v>
      </c>
      <c r="Q18" s="26">
        <f>Q14+Q15+Q16+Q17</f>
        <v>20884512</v>
      </c>
    </row>
    <row r="19" spans="2:17" x14ac:dyDescent="0.25">
      <c r="B19" s="34" t="s">
        <v>105</v>
      </c>
      <c r="C19" s="54" t="s">
        <v>75</v>
      </c>
      <c r="D19" s="39" t="s">
        <v>94</v>
      </c>
      <c r="E19" s="37">
        <v>46107</v>
      </c>
      <c r="F19" s="37">
        <v>46113</v>
      </c>
      <c r="G19" s="5">
        <v>28</v>
      </c>
      <c r="H19" s="38">
        <v>10000</v>
      </c>
      <c r="I19" s="38">
        <v>280000</v>
      </c>
      <c r="K19" s="3" t="s">
        <v>42</v>
      </c>
      <c r="L19" s="5">
        <v>1</v>
      </c>
      <c r="M19" s="28">
        <v>20000</v>
      </c>
      <c r="N19" s="29">
        <f t="shared" si="1"/>
        <v>20000</v>
      </c>
    </row>
    <row r="20" spans="2:17" x14ac:dyDescent="0.25">
      <c r="B20" s="34" t="s">
        <v>11</v>
      </c>
      <c r="C20" s="54" t="s">
        <v>76</v>
      </c>
      <c r="D20" s="39" t="s">
        <v>92</v>
      </c>
      <c r="E20" s="37">
        <v>46114</v>
      </c>
      <c r="F20" s="43">
        <v>46118</v>
      </c>
      <c r="G20" s="5">
        <v>20</v>
      </c>
      <c r="H20" s="38">
        <v>10000</v>
      </c>
      <c r="I20" s="38">
        <v>200000</v>
      </c>
      <c r="K20" s="3" t="s">
        <v>43</v>
      </c>
      <c r="L20" s="5">
        <v>1</v>
      </c>
      <c r="M20" s="28">
        <v>15000</v>
      </c>
      <c r="N20" s="29">
        <f t="shared" si="1"/>
        <v>15000</v>
      </c>
      <c r="P20" s="26"/>
    </row>
    <row r="21" spans="2:17" x14ac:dyDescent="0.25">
      <c r="B21" s="34" t="s">
        <v>12</v>
      </c>
      <c r="C21" s="54" t="s">
        <v>77</v>
      </c>
      <c r="D21" s="39" t="s">
        <v>92</v>
      </c>
      <c r="E21" s="37">
        <v>46119</v>
      </c>
      <c r="F21" s="43">
        <v>46122</v>
      </c>
      <c r="G21" s="5">
        <v>16</v>
      </c>
      <c r="H21" s="38">
        <v>10000</v>
      </c>
      <c r="I21" s="38">
        <v>160000</v>
      </c>
      <c r="K21" s="3" t="s">
        <v>44</v>
      </c>
      <c r="L21" s="5">
        <v>1</v>
      </c>
      <c r="M21" s="28">
        <v>59500</v>
      </c>
      <c r="N21" s="29">
        <f t="shared" si="1"/>
        <v>59500</v>
      </c>
      <c r="P21" s="26"/>
    </row>
    <row r="22" spans="2:17" x14ac:dyDescent="0.25">
      <c r="B22" s="44">
        <v>3</v>
      </c>
      <c r="C22" s="56" t="s">
        <v>13</v>
      </c>
      <c r="D22" s="45" t="s">
        <v>106</v>
      </c>
      <c r="E22" s="46">
        <v>46123</v>
      </c>
      <c r="F22" s="45">
        <v>46168</v>
      </c>
      <c r="G22" s="22">
        <f>SUM(G23:G27)</f>
        <v>184</v>
      </c>
      <c r="H22" s="23">
        <v>10000</v>
      </c>
      <c r="I22" s="23">
        <f>G22*H22</f>
        <v>1840000</v>
      </c>
      <c r="K22" s="3" t="s">
        <v>45</v>
      </c>
      <c r="L22" s="5">
        <v>1</v>
      </c>
      <c r="M22" s="28">
        <v>25000</v>
      </c>
      <c r="N22" s="29">
        <f t="shared" si="1"/>
        <v>25000</v>
      </c>
      <c r="P22" s="26"/>
    </row>
    <row r="23" spans="2:17" x14ac:dyDescent="0.25">
      <c r="B23" s="34" t="s">
        <v>14</v>
      </c>
      <c r="C23" s="54" t="s">
        <v>78</v>
      </c>
      <c r="D23" s="5" t="s">
        <v>92</v>
      </c>
      <c r="E23" s="37">
        <v>46123</v>
      </c>
      <c r="F23" s="43">
        <v>46127</v>
      </c>
      <c r="G23" s="39">
        <v>20</v>
      </c>
      <c r="H23" s="38">
        <v>10000</v>
      </c>
      <c r="I23" s="38">
        <v>200000</v>
      </c>
      <c r="K23" s="3" t="s">
        <v>46</v>
      </c>
      <c r="L23" s="5">
        <v>1</v>
      </c>
      <c r="M23" s="28">
        <v>16667</v>
      </c>
      <c r="N23" s="29">
        <f t="shared" si="1"/>
        <v>16667</v>
      </c>
    </row>
    <row r="24" spans="2:17" x14ac:dyDescent="0.25">
      <c r="B24" s="34" t="s">
        <v>15</v>
      </c>
      <c r="C24" s="54" t="s">
        <v>79</v>
      </c>
      <c r="D24" s="5" t="s">
        <v>92</v>
      </c>
      <c r="E24" s="37">
        <v>46128</v>
      </c>
      <c r="F24" s="43">
        <v>46142</v>
      </c>
      <c r="G24" s="39">
        <v>60</v>
      </c>
      <c r="H24" s="38">
        <v>10000</v>
      </c>
      <c r="I24" s="38">
        <v>600000</v>
      </c>
      <c r="K24" s="3" t="s">
        <v>47</v>
      </c>
      <c r="L24" s="5">
        <v>1</v>
      </c>
      <c r="M24" s="28">
        <v>500</v>
      </c>
      <c r="N24" s="29">
        <f t="shared" si="1"/>
        <v>500</v>
      </c>
    </row>
    <row r="25" spans="2:17" x14ac:dyDescent="0.25">
      <c r="B25" s="34" t="s">
        <v>16</v>
      </c>
      <c r="C25" s="54" t="s">
        <v>80</v>
      </c>
      <c r="D25" s="5" t="s">
        <v>92</v>
      </c>
      <c r="E25" s="37">
        <v>46143</v>
      </c>
      <c r="F25" s="43">
        <v>46157</v>
      </c>
      <c r="G25" s="39">
        <v>60</v>
      </c>
      <c r="H25" s="38">
        <v>10000</v>
      </c>
      <c r="I25" s="38">
        <v>600000</v>
      </c>
      <c r="K25" s="3" t="s">
        <v>48</v>
      </c>
      <c r="L25" s="5">
        <v>1</v>
      </c>
      <c r="M25" s="28">
        <v>500</v>
      </c>
      <c r="N25" s="29">
        <f t="shared" si="1"/>
        <v>500</v>
      </c>
    </row>
    <row r="26" spans="2:17" x14ac:dyDescent="0.25">
      <c r="B26" s="34" t="s">
        <v>17</v>
      </c>
      <c r="C26" s="54" t="s">
        <v>81</v>
      </c>
      <c r="D26" s="5" t="s">
        <v>92</v>
      </c>
      <c r="E26" s="37">
        <v>46158</v>
      </c>
      <c r="F26" s="43">
        <v>46164</v>
      </c>
      <c r="G26" s="39">
        <v>28</v>
      </c>
      <c r="H26" s="38">
        <v>10000</v>
      </c>
      <c r="I26" s="38">
        <v>280000</v>
      </c>
      <c r="K26" s="3" t="s">
        <v>49</v>
      </c>
      <c r="L26" s="5">
        <v>1</v>
      </c>
      <c r="M26" s="28">
        <v>6714</v>
      </c>
      <c r="N26" s="29">
        <f t="shared" si="1"/>
        <v>6714</v>
      </c>
    </row>
    <row r="27" spans="2:17" x14ac:dyDescent="0.25">
      <c r="B27" s="34" t="s">
        <v>18</v>
      </c>
      <c r="C27" s="54" t="s">
        <v>82</v>
      </c>
      <c r="D27" s="5" t="s">
        <v>92</v>
      </c>
      <c r="E27" s="37">
        <v>46165</v>
      </c>
      <c r="F27" s="43">
        <v>46168</v>
      </c>
      <c r="G27" s="39">
        <v>16</v>
      </c>
      <c r="H27" s="38">
        <v>10000</v>
      </c>
      <c r="I27" s="38">
        <v>160000</v>
      </c>
      <c r="K27" s="3" t="s">
        <v>50</v>
      </c>
      <c r="L27" s="5">
        <v>1</v>
      </c>
      <c r="M27" s="28">
        <v>80000</v>
      </c>
      <c r="N27" s="29">
        <f t="shared" si="1"/>
        <v>80000</v>
      </c>
    </row>
    <row r="28" spans="2:17" ht="30" x14ac:dyDescent="0.25">
      <c r="B28" s="47">
        <v>4</v>
      </c>
      <c r="C28" s="57" t="s">
        <v>19</v>
      </c>
      <c r="D28" s="48" t="s">
        <v>95</v>
      </c>
      <c r="E28" s="48">
        <v>46169</v>
      </c>
      <c r="F28" s="49">
        <v>46171</v>
      </c>
      <c r="G28" s="24">
        <f>SUM(G29:G32)</f>
        <v>28</v>
      </c>
      <c r="H28" s="25">
        <v>30000</v>
      </c>
      <c r="I28" s="25">
        <f>G28*H28</f>
        <v>840000</v>
      </c>
      <c r="K28" s="61" t="s">
        <v>113</v>
      </c>
      <c r="L28" s="5">
        <v>1</v>
      </c>
      <c r="M28" s="28">
        <v>1050000</v>
      </c>
      <c r="N28" s="29">
        <f t="shared" si="1"/>
        <v>1050000</v>
      </c>
    </row>
    <row r="29" spans="2:17" x14ac:dyDescent="0.25">
      <c r="B29" s="34" t="s">
        <v>20</v>
      </c>
      <c r="C29" s="54" t="s">
        <v>107</v>
      </c>
      <c r="D29" s="39" t="s">
        <v>90</v>
      </c>
      <c r="E29" s="37">
        <v>46169</v>
      </c>
      <c r="F29" s="43">
        <v>46169</v>
      </c>
      <c r="G29" s="39">
        <v>4</v>
      </c>
      <c r="H29" s="38">
        <v>10000</v>
      </c>
      <c r="I29" s="38">
        <v>40000</v>
      </c>
      <c r="K29" s="30" t="s">
        <v>52</v>
      </c>
      <c r="L29" s="31"/>
      <c r="M29" s="32"/>
      <c r="N29" s="33">
        <f>SUM(N4:N28)</f>
        <v>2241920</v>
      </c>
    </row>
    <row r="30" spans="2:17" ht="27" x14ac:dyDescent="0.25">
      <c r="B30" s="34" t="s">
        <v>21</v>
      </c>
      <c r="C30" s="54" t="s">
        <v>108</v>
      </c>
      <c r="D30" s="36" t="s">
        <v>112</v>
      </c>
      <c r="E30" s="37">
        <v>46169</v>
      </c>
      <c r="F30" s="43">
        <v>46170</v>
      </c>
      <c r="G30" s="39">
        <v>16</v>
      </c>
      <c r="H30" s="38">
        <v>20000</v>
      </c>
      <c r="I30" s="38">
        <v>320000</v>
      </c>
    </row>
    <row r="31" spans="2:17" x14ac:dyDescent="0.25">
      <c r="B31" s="34" t="s">
        <v>109</v>
      </c>
      <c r="C31" s="54" t="s">
        <v>83</v>
      </c>
      <c r="D31" s="39" t="s">
        <v>92</v>
      </c>
      <c r="E31" s="37">
        <v>46171</v>
      </c>
      <c r="F31" s="43">
        <v>46171</v>
      </c>
      <c r="G31" s="39">
        <v>4</v>
      </c>
      <c r="H31" s="38">
        <v>10000</v>
      </c>
      <c r="I31" s="38">
        <v>40000</v>
      </c>
    </row>
    <row r="32" spans="2:17" x14ac:dyDescent="0.25">
      <c r="B32" s="34" t="s">
        <v>110</v>
      </c>
      <c r="C32" s="54" t="s">
        <v>111</v>
      </c>
      <c r="D32" s="39" t="s">
        <v>90</v>
      </c>
      <c r="E32" s="37">
        <v>46172</v>
      </c>
      <c r="F32" s="43">
        <v>46172</v>
      </c>
      <c r="G32" s="39">
        <v>4</v>
      </c>
      <c r="H32" s="38">
        <v>10000</v>
      </c>
      <c r="I32" s="38">
        <v>40000</v>
      </c>
    </row>
    <row r="33" spans="1:19" x14ac:dyDescent="0.25">
      <c r="C33" s="35" t="s">
        <v>52</v>
      </c>
      <c r="I33" s="60">
        <f>I4+I12+I22+I28</f>
        <v>9520000</v>
      </c>
    </row>
    <row r="37" spans="1:19" x14ac:dyDescent="0.25">
      <c r="B37" s="52"/>
      <c r="C37" s="52"/>
      <c r="D37" s="52"/>
      <c r="E37" s="52"/>
      <c r="F37" s="52"/>
      <c r="G37" s="52"/>
      <c r="H37" s="52"/>
      <c r="I37" s="52"/>
    </row>
    <row r="38" spans="1:19" ht="34.5" x14ac:dyDescent="0.25">
      <c r="A38" s="4" t="s">
        <v>114</v>
      </c>
      <c r="B38" s="4"/>
      <c r="C38" s="4"/>
      <c r="D38" s="4"/>
      <c r="E38" s="4"/>
      <c r="F38" s="4"/>
      <c r="G38" s="4"/>
      <c r="H38" s="4"/>
      <c r="I38" s="4"/>
    </row>
    <row r="39" spans="1:19" x14ac:dyDescent="0.25">
      <c r="B39" s="89"/>
      <c r="C39" s="89"/>
      <c r="D39" s="89"/>
      <c r="E39" s="89"/>
      <c r="F39" s="89"/>
      <c r="G39" s="89"/>
      <c r="H39" s="89"/>
      <c r="I39" s="89"/>
      <c r="K39" s="90" t="s">
        <v>28</v>
      </c>
      <c r="L39" s="90"/>
      <c r="M39" s="90"/>
      <c r="N39" s="90"/>
      <c r="P39" s="90" t="s">
        <v>54</v>
      </c>
      <c r="Q39" s="90"/>
      <c r="R39" s="90"/>
      <c r="S39" s="90"/>
    </row>
    <row r="40" spans="1:19" ht="28.5" x14ac:dyDescent="0.25">
      <c r="B40" s="14" t="s">
        <v>24</v>
      </c>
      <c r="C40" s="14" t="s">
        <v>0</v>
      </c>
      <c r="D40" s="14" t="s">
        <v>1</v>
      </c>
      <c r="E40" s="15" t="s">
        <v>2</v>
      </c>
      <c r="F40" s="15" t="s">
        <v>3</v>
      </c>
      <c r="G40" s="16" t="s">
        <v>53</v>
      </c>
      <c r="H40" s="16" t="s">
        <v>22</v>
      </c>
      <c r="I40" s="14" t="s">
        <v>23</v>
      </c>
      <c r="K40" s="6" t="s">
        <v>25</v>
      </c>
      <c r="L40" s="7" t="s">
        <v>51</v>
      </c>
      <c r="M40" s="7" t="s">
        <v>26</v>
      </c>
      <c r="N40" s="8" t="s">
        <v>27</v>
      </c>
      <c r="P40" s="2" t="s">
        <v>55</v>
      </c>
      <c r="Q40" s="2" t="s">
        <v>57</v>
      </c>
      <c r="R40" s="2" t="s">
        <v>66</v>
      </c>
      <c r="S40" s="2" t="s">
        <v>59</v>
      </c>
    </row>
    <row r="41" spans="1:19" x14ac:dyDescent="0.25">
      <c r="A41" s="1"/>
      <c r="B41" s="58">
        <v>1</v>
      </c>
      <c r="C41" s="53" t="s">
        <v>116</v>
      </c>
      <c r="D41" s="59" t="s">
        <v>117</v>
      </c>
      <c r="E41" s="74">
        <v>46067</v>
      </c>
      <c r="F41" s="74">
        <v>46088</v>
      </c>
      <c r="G41" s="17">
        <f>SUM(G42:G48)</f>
        <v>92</v>
      </c>
      <c r="H41" s="18">
        <v>30000</v>
      </c>
      <c r="I41" s="18">
        <f>G41*H41</f>
        <v>2760000</v>
      </c>
      <c r="K41" s="3" t="s">
        <v>191</v>
      </c>
      <c r="L41" s="5">
        <v>1</v>
      </c>
      <c r="M41" s="28">
        <v>238823</v>
      </c>
      <c r="N41" s="29">
        <v>238823</v>
      </c>
      <c r="P41" s="2" t="s">
        <v>56</v>
      </c>
      <c r="Q41" s="2">
        <v>4</v>
      </c>
      <c r="R41" s="11">
        <v>1500000</v>
      </c>
      <c r="S41" s="11">
        <f>Q41*R41</f>
        <v>6000000</v>
      </c>
    </row>
    <row r="42" spans="1:19" x14ac:dyDescent="0.25">
      <c r="B42" s="34" t="s">
        <v>5</v>
      </c>
      <c r="C42" s="54" t="s">
        <v>84</v>
      </c>
      <c r="D42" s="39" t="s">
        <v>90</v>
      </c>
      <c r="E42" s="75">
        <v>46067</v>
      </c>
      <c r="F42" s="75">
        <v>46068</v>
      </c>
      <c r="G42" s="5">
        <v>8</v>
      </c>
      <c r="H42" s="38">
        <v>10000</v>
      </c>
      <c r="I42" s="38">
        <f t="shared" ref="I42:I48" si="2">G42*H42</f>
        <v>80000</v>
      </c>
      <c r="K42" s="3" t="s">
        <v>192</v>
      </c>
      <c r="L42" s="5">
        <v>1</v>
      </c>
      <c r="M42" s="28">
        <v>33987</v>
      </c>
      <c r="N42" s="29">
        <v>33987</v>
      </c>
      <c r="P42" s="9" t="s">
        <v>63</v>
      </c>
      <c r="Q42" s="10">
        <v>4</v>
      </c>
      <c r="R42" s="12">
        <v>86000</v>
      </c>
      <c r="S42" s="13">
        <f>Q42*R42</f>
        <v>344000</v>
      </c>
    </row>
    <row r="43" spans="1:19" x14ac:dyDescent="0.25">
      <c r="B43" s="34" t="s">
        <v>6</v>
      </c>
      <c r="C43" s="54" t="s">
        <v>85</v>
      </c>
      <c r="D43" s="36" t="s">
        <v>90</v>
      </c>
      <c r="E43" s="75">
        <v>46069</v>
      </c>
      <c r="F43" s="75">
        <v>46070</v>
      </c>
      <c r="G43" s="5">
        <v>8</v>
      </c>
      <c r="H43" s="38">
        <v>10000</v>
      </c>
      <c r="I43" s="38">
        <f t="shared" si="2"/>
        <v>80000</v>
      </c>
      <c r="K43" s="3" t="s">
        <v>193</v>
      </c>
      <c r="L43" s="5">
        <v>1</v>
      </c>
      <c r="M43" s="28">
        <v>23935</v>
      </c>
      <c r="N43" s="28">
        <v>23935</v>
      </c>
      <c r="P43" s="9" t="s">
        <v>64</v>
      </c>
      <c r="Q43" s="10">
        <v>4</v>
      </c>
      <c r="R43" s="12">
        <v>120000</v>
      </c>
      <c r="S43" s="13">
        <f>Q43*R43</f>
        <v>480000</v>
      </c>
    </row>
    <row r="44" spans="1:19" x14ac:dyDescent="0.25">
      <c r="B44" s="34" t="s">
        <v>86</v>
      </c>
      <c r="C44" s="54" t="s">
        <v>87</v>
      </c>
      <c r="D44" s="39" t="s">
        <v>90</v>
      </c>
      <c r="E44" s="75">
        <v>46071</v>
      </c>
      <c r="F44" s="75">
        <v>46073</v>
      </c>
      <c r="G44" s="5">
        <v>12</v>
      </c>
      <c r="H44" s="38">
        <v>10000</v>
      </c>
      <c r="I44" s="38">
        <f t="shared" si="2"/>
        <v>120000</v>
      </c>
      <c r="K44" s="3" t="s">
        <v>193</v>
      </c>
      <c r="L44" s="5">
        <v>1</v>
      </c>
      <c r="M44" s="28">
        <v>23935</v>
      </c>
      <c r="N44" s="28">
        <v>23935</v>
      </c>
      <c r="P44" s="9" t="s">
        <v>65</v>
      </c>
      <c r="Q44" s="10">
        <v>2</v>
      </c>
      <c r="R44" s="12">
        <v>200000</v>
      </c>
      <c r="S44" s="13">
        <f>Q44*R44</f>
        <v>400000</v>
      </c>
    </row>
    <row r="45" spans="1:19" x14ac:dyDescent="0.25">
      <c r="B45" s="34" t="s">
        <v>88</v>
      </c>
      <c r="C45" s="54" t="s">
        <v>89</v>
      </c>
      <c r="D45" s="39" t="s">
        <v>90</v>
      </c>
      <c r="E45" s="75">
        <v>46074</v>
      </c>
      <c r="F45" s="75">
        <v>46074</v>
      </c>
      <c r="G45" s="5">
        <v>4</v>
      </c>
      <c r="H45" s="38">
        <v>10000</v>
      </c>
      <c r="I45" s="38">
        <f t="shared" si="2"/>
        <v>40000</v>
      </c>
      <c r="K45" s="3" t="s">
        <v>194</v>
      </c>
      <c r="L45" s="5">
        <v>2</v>
      </c>
      <c r="M45" s="28">
        <v>3659</v>
      </c>
      <c r="N45" s="29">
        <v>7318</v>
      </c>
      <c r="P45" s="9" t="s">
        <v>52</v>
      </c>
      <c r="Q45" s="10"/>
      <c r="R45" s="12"/>
      <c r="S45" s="13">
        <f>S41+S42+S43+S44</f>
        <v>7224000</v>
      </c>
    </row>
    <row r="46" spans="1:19" x14ac:dyDescent="0.25">
      <c r="B46" s="34" t="s">
        <v>91</v>
      </c>
      <c r="C46" s="54" t="s">
        <v>71</v>
      </c>
      <c r="D46" s="36" t="s">
        <v>92</v>
      </c>
      <c r="E46" s="75">
        <v>46074</v>
      </c>
      <c r="F46" s="75">
        <v>46078</v>
      </c>
      <c r="G46" s="5">
        <v>20</v>
      </c>
      <c r="H46" s="38">
        <v>10000</v>
      </c>
      <c r="I46" s="38">
        <f t="shared" si="2"/>
        <v>200000</v>
      </c>
      <c r="K46" s="3" t="s">
        <v>195</v>
      </c>
      <c r="L46" s="5">
        <v>2</v>
      </c>
      <c r="M46" s="28">
        <v>7786</v>
      </c>
      <c r="N46" s="29">
        <v>15572</v>
      </c>
    </row>
    <row r="47" spans="1:19" x14ac:dyDescent="0.25">
      <c r="B47" s="34" t="s">
        <v>93</v>
      </c>
      <c r="C47" s="54" t="s">
        <v>72</v>
      </c>
      <c r="D47" s="39" t="s">
        <v>94</v>
      </c>
      <c r="E47" s="75">
        <v>46079</v>
      </c>
      <c r="F47" s="75">
        <v>46081</v>
      </c>
      <c r="G47" s="5">
        <v>12</v>
      </c>
      <c r="H47" s="38">
        <v>10000</v>
      </c>
      <c r="I47" s="38">
        <f t="shared" si="2"/>
        <v>120000</v>
      </c>
      <c r="K47" s="3" t="s">
        <v>196</v>
      </c>
      <c r="L47" s="5">
        <v>1</v>
      </c>
      <c r="M47" s="28">
        <v>300000</v>
      </c>
      <c r="N47" s="29">
        <v>300000</v>
      </c>
    </row>
    <row r="48" spans="1:19" x14ac:dyDescent="0.25">
      <c r="B48" s="34" t="s">
        <v>7</v>
      </c>
      <c r="C48" s="54" t="s">
        <v>73</v>
      </c>
      <c r="D48" s="39" t="s">
        <v>94</v>
      </c>
      <c r="E48" s="75">
        <v>46082</v>
      </c>
      <c r="F48" s="75">
        <v>46088</v>
      </c>
      <c r="G48" s="5">
        <v>28</v>
      </c>
      <c r="H48" s="38">
        <v>10000</v>
      </c>
      <c r="I48" s="38">
        <f t="shared" si="2"/>
        <v>280000</v>
      </c>
      <c r="K48" s="3" t="s">
        <v>197</v>
      </c>
      <c r="L48" s="5">
        <v>1</v>
      </c>
      <c r="M48" s="28">
        <v>60000</v>
      </c>
      <c r="N48" s="29">
        <v>60000</v>
      </c>
    </row>
    <row r="49" spans="2:17" x14ac:dyDescent="0.25">
      <c r="B49" s="40">
        <v>2</v>
      </c>
      <c r="C49" s="55" t="s">
        <v>8</v>
      </c>
      <c r="D49" s="41" t="s">
        <v>117</v>
      </c>
      <c r="E49" s="76">
        <v>46089</v>
      </c>
      <c r="F49" s="77">
        <v>46106</v>
      </c>
      <c r="G49" s="19">
        <f>SUM(G50:G55)</f>
        <v>72</v>
      </c>
      <c r="H49" s="20">
        <v>10000</v>
      </c>
      <c r="I49" s="21">
        <f>G49*H49</f>
        <v>720000</v>
      </c>
      <c r="K49" s="3" t="s">
        <v>198</v>
      </c>
      <c r="L49" s="5">
        <v>1</v>
      </c>
      <c r="M49" s="28">
        <v>15409</v>
      </c>
      <c r="N49" s="29">
        <v>15409</v>
      </c>
      <c r="P49" s="88" t="s">
        <v>60</v>
      </c>
      <c r="Q49" s="88"/>
    </row>
    <row r="50" spans="2:17" x14ac:dyDescent="0.25">
      <c r="B50" s="34" t="s">
        <v>9</v>
      </c>
      <c r="C50" s="54" t="s">
        <v>96</v>
      </c>
      <c r="D50" s="39" t="s">
        <v>90</v>
      </c>
      <c r="E50" s="75">
        <v>46089</v>
      </c>
      <c r="F50" s="75">
        <v>46090</v>
      </c>
      <c r="G50" s="5">
        <v>8</v>
      </c>
      <c r="H50" s="38">
        <v>10000</v>
      </c>
      <c r="I50" s="38">
        <v>80000</v>
      </c>
      <c r="K50" s="3" t="s">
        <v>199</v>
      </c>
      <c r="L50" s="5">
        <v>1</v>
      </c>
      <c r="M50" s="28">
        <v>30061</v>
      </c>
      <c r="N50" s="29">
        <v>30061</v>
      </c>
      <c r="P50" t="s">
        <v>55</v>
      </c>
      <c r="Q50" t="s">
        <v>58</v>
      </c>
    </row>
    <row r="51" spans="2:17" ht="30" x14ac:dyDescent="0.25">
      <c r="B51" s="34" t="s">
        <v>10</v>
      </c>
      <c r="C51" s="54" t="s">
        <v>97</v>
      </c>
      <c r="D51" s="39" t="s">
        <v>90</v>
      </c>
      <c r="E51" s="75">
        <v>46091</v>
      </c>
      <c r="F51" s="75">
        <v>46092</v>
      </c>
      <c r="G51" s="5">
        <v>8</v>
      </c>
      <c r="H51" s="38">
        <v>10000</v>
      </c>
      <c r="I51" s="38">
        <v>80000</v>
      </c>
      <c r="K51" s="3" t="s">
        <v>200</v>
      </c>
      <c r="L51" s="5">
        <v>1</v>
      </c>
      <c r="M51" s="28">
        <v>4094</v>
      </c>
      <c r="N51" s="29">
        <v>4094</v>
      </c>
      <c r="P51" s="50" t="s">
        <v>218</v>
      </c>
      <c r="Q51" s="26">
        <f>I99</f>
        <v>18340000</v>
      </c>
    </row>
    <row r="52" spans="2:17" ht="30" x14ac:dyDescent="0.25">
      <c r="B52" s="34" t="s">
        <v>98</v>
      </c>
      <c r="C52" s="54" t="s">
        <v>99</v>
      </c>
      <c r="D52" s="39" t="s">
        <v>90</v>
      </c>
      <c r="E52" s="75">
        <v>46093</v>
      </c>
      <c r="F52" s="75">
        <v>46093</v>
      </c>
      <c r="G52" s="5">
        <v>4</v>
      </c>
      <c r="H52" s="38">
        <v>10000</v>
      </c>
      <c r="I52" s="38">
        <v>40000</v>
      </c>
      <c r="K52" s="3" t="s">
        <v>36</v>
      </c>
      <c r="L52" s="5">
        <v>1</v>
      </c>
      <c r="M52" s="28">
        <v>45937</v>
      </c>
      <c r="N52" s="29">
        <v>45937</v>
      </c>
      <c r="P52" s="50" t="s">
        <v>62</v>
      </c>
      <c r="Q52" s="27">
        <f>N73</f>
        <v>2700790</v>
      </c>
    </row>
    <row r="53" spans="2:17" ht="30" x14ac:dyDescent="0.25">
      <c r="B53" s="34" t="s">
        <v>100</v>
      </c>
      <c r="C53" s="54" t="s">
        <v>101</v>
      </c>
      <c r="D53" s="39" t="s">
        <v>90</v>
      </c>
      <c r="E53" s="75">
        <v>46094</v>
      </c>
      <c r="F53" s="78">
        <v>46095</v>
      </c>
      <c r="G53" s="5">
        <v>8</v>
      </c>
      <c r="H53" s="38">
        <v>10000</v>
      </c>
      <c r="I53" s="38">
        <v>80000</v>
      </c>
      <c r="K53" s="3" t="s">
        <v>201</v>
      </c>
      <c r="L53" s="5">
        <v>1</v>
      </c>
      <c r="M53" s="28">
        <v>10000</v>
      </c>
      <c r="N53" s="29">
        <v>10000</v>
      </c>
      <c r="P53" s="50" t="s">
        <v>219</v>
      </c>
      <c r="Q53" s="27">
        <f>S45</f>
        <v>7224000</v>
      </c>
    </row>
    <row r="54" spans="2:17" x14ac:dyDescent="0.25">
      <c r="B54" s="34" t="s">
        <v>102</v>
      </c>
      <c r="C54" s="54" t="s">
        <v>103</v>
      </c>
      <c r="D54" s="39" t="s">
        <v>90</v>
      </c>
      <c r="E54" s="75">
        <v>46096</v>
      </c>
      <c r="F54" s="78">
        <v>46098</v>
      </c>
      <c r="G54" s="5">
        <v>12</v>
      </c>
      <c r="H54" s="38">
        <v>10000</v>
      </c>
      <c r="I54" s="38">
        <v>120000</v>
      </c>
      <c r="K54" s="3" t="s">
        <v>202</v>
      </c>
      <c r="L54" s="5">
        <v>1</v>
      </c>
      <c r="M54" s="28">
        <v>26646</v>
      </c>
      <c r="N54" s="29">
        <v>26646</v>
      </c>
      <c r="P54" s="50" t="s">
        <v>220</v>
      </c>
      <c r="Q54" s="26">
        <f>SUM(I99,N73,S45)*10%</f>
        <v>2826479</v>
      </c>
    </row>
    <row r="55" spans="2:17" x14ac:dyDescent="0.25">
      <c r="B55" s="34" t="s">
        <v>104</v>
      </c>
      <c r="C55" s="54" t="s">
        <v>118</v>
      </c>
      <c r="D55" s="39" t="s">
        <v>92</v>
      </c>
      <c r="E55" s="75">
        <v>46099</v>
      </c>
      <c r="F55" s="75">
        <v>46106</v>
      </c>
      <c r="G55" s="5">
        <v>32</v>
      </c>
      <c r="H55" s="38">
        <v>10000</v>
      </c>
      <c r="I55" s="38">
        <v>320000</v>
      </c>
      <c r="K55" s="3" t="s">
        <v>39</v>
      </c>
      <c r="L55" s="5">
        <v>1</v>
      </c>
      <c r="M55" s="28">
        <v>14334</v>
      </c>
      <c r="N55" s="29">
        <v>14334</v>
      </c>
      <c r="P55" s="50" t="s">
        <v>52</v>
      </c>
      <c r="Q55" s="26">
        <f>Q51+Q52+Q53+Q54</f>
        <v>31091269</v>
      </c>
    </row>
    <row r="56" spans="2:17" x14ac:dyDescent="0.25">
      <c r="B56" s="44">
        <v>3</v>
      </c>
      <c r="C56" s="56" t="s">
        <v>13</v>
      </c>
      <c r="D56" s="45" t="s">
        <v>106</v>
      </c>
      <c r="E56" s="79">
        <v>46107</v>
      </c>
      <c r="F56" s="80">
        <v>46218</v>
      </c>
      <c r="G56" s="22">
        <f>SUM(G57:G86)</f>
        <v>1148</v>
      </c>
      <c r="H56" s="23">
        <v>10000</v>
      </c>
      <c r="I56" s="23">
        <f>G56*H56</f>
        <v>11480000</v>
      </c>
      <c r="K56" s="3" t="s">
        <v>203</v>
      </c>
      <c r="L56" s="5">
        <v>1</v>
      </c>
      <c r="M56" s="28">
        <v>160000</v>
      </c>
      <c r="N56" s="29">
        <v>160000</v>
      </c>
    </row>
    <row r="57" spans="2:17" x14ac:dyDescent="0.25">
      <c r="B57" s="34" t="s">
        <v>14</v>
      </c>
      <c r="C57" s="54" t="s">
        <v>139</v>
      </c>
      <c r="D57" s="5" t="s">
        <v>94</v>
      </c>
      <c r="E57" s="75">
        <v>46107</v>
      </c>
      <c r="F57" s="78">
        <v>46109</v>
      </c>
      <c r="G57" s="39">
        <v>24</v>
      </c>
      <c r="H57" s="38">
        <v>10000</v>
      </c>
      <c r="I57" s="38">
        <f t="shared" ref="I57" si="3">G57*H57</f>
        <v>240000</v>
      </c>
      <c r="K57" s="3" t="s">
        <v>204</v>
      </c>
      <c r="L57" s="5">
        <v>1</v>
      </c>
      <c r="M57" s="28">
        <v>5858</v>
      </c>
      <c r="N57" s="29">
        <v>5858</v>
      </c>
    </row>
    <row r="58" spans="2:17" x14ac:dyDescent="0.25">
      <c r="B58" s="34" t="s">
        <v>15</v>
      </c>
      <c r="C58" s="54" t="s">
        <v>140</v>
      </c>
      <c r="D58" s="5" t="s">
        <v>94</v>
      </c>
      <c r="E58" s="75">
        <v>46110</v>
      </c>
      <c r="F58" s="78">
        <v>46112</v>
      </c>
      <c r="G58" s="39">
        <v>24</v>
      </c>
      <c r="H58" s="38">
        <v>10000</v>
      </c>
      <c r="I58" s="38">
        <f t="shared" ref="I58:I98" si="4">G58*H58</f>
        <v>240000</v>
      </c>
      <c r="K58" s="3" t="s">
        <v>205</v>
      </c>
      <c r="L58" s="5">
        <v>1</v>
      </c>
      <c r="M58" s="28">
        <v>20000</v>
      </c>
      <c r="N58" s="29">
        <v>20000</v>
      </c>
    </row>
    <row r="59" spans="2:17" x14ac:dyDescent="0.25">
      <c r="B59" s="34" t="s">
        <v>17</v>
      </c>
      <c r="C59" s="54" t="s">
        <v>141</v>
      </c>
      <c r="D59" s="5" t="s">
        <v>94</v>
      </c>
      <c r="E59" s="75">
        <v>46113</v>
      </c>
      <c r="F59" s="78">
        <v>46114</v>
      </c>
      <c r="G59" s="39">
        <v>16</v>
      </c>
      <c r="H59" s="38">
        <v>10000</v>
      </c>
      <c r="I59" s="38">
        <f t="shared" si="4"/>
        <v>160000</v>
      </c>
      <c r="K59" s="3" t="s">
        <v>206</v>
      </c>
      <c r="L59" s="5">
        <v>1</v>
      </c>
      <c r="M59" s="28">
        <v>15000</v>
      </c>
      <c r="N59" s="29">
        <v>15000</v>
      </c>
      <c r="Q59" s="72"/>
    </row>
    <row r="60" spans="2:17" x14ac:dyDescent="0.25">
      <c r="B60" s="34" t="s">
        <v>18</v>
      </c>
      <c r="C60" s="54" t="s">
        <v>142</v>
      </c>
      <c r="D60" s="5" t="s">
        <v>94</v>
      </c>
      <c r="E60" s="75">
        <v>46115</v>
      </c>
      <c r="F60" s="78">
        <v>46168</v>
      </c>
      <c r="G60" s="39">
        <v>432</v>
      </c>
      <c r="H60" s="38">
        <v>10000</v>
      </c>
      <c r="I60" s="38">
        <f t="shared" si="4"/>
        <v>4320000</v>
      </c>
      <c r="K60" s="3" t="s">
        <v>207</v>
      </c>
      <c r="L60" s="5">
        <v>1</v>
      </c>
      <c r="M60" s="28">
        <v>59500</v>
      </c>
      <c r="N60" s="29">
        <v>59500</v>
      </c>
      <c r="Q60" s="72"/>
    </row>
    <row r="61" spans="2:17" x14ac:dyDescent="0.25">
      <c r="B61" s="34" t="s">
        <v>122</v>
      </c>
      <c r="C61" s="54" t="s">
        <v>119</v>
      </c>
      <c r="D61" s="5" t="s">
        <v>94</v>
      </c>
      <c r="E61" s="75">
        <v>46162</v>
      </c>
      <c r="F61" s="78">
        <v>46168</v>
      </c>
      <c r="G61" s="39">
        <v>56</v>
      </c>
      <c r="H61" s="38">
        <v>10000</v>
      </c>
      <c r="I61" s="38">
        <f t="shared" si="4"/>
        <v>560000</v>
      </c>
      <c r="K61" s="3" t="s">
        <v>208</v>
      </c>
      <c r="L61" s="5">
        <v>1</v>
      </c>
      <c r="M61" s="28">
        <v>25000</v>
      </c>
      <c r="N61" s="29">
        <v>25000</v>
      </c>
      <c r="Q61" s="72"/>
    </row>
    <row r="62" spans="2:17" x14ac:dyDescent="0.25">
      <c r="B62" s="34" t="s">
        <v>123</v>
      </c>
      <c r="C62" s="54" t="s">
        <v>120</v>
      </c>
      <c r="D62" s="5" t="s">
        <v>94</v>
      </c>
      <c r="E62" s="75">
        <v>46162</v>
      </c>
      <c r="F62" s="78">
        <v>46168</v>
      </c>
      <c r="G62" s="39">
        <v>56</v>
      </c>
      <c r="H62" s="38">
        <v>10000</v>
      </c>
      <c r="I62" s="38">
        <f t="shared" si="4"/>
        <v>560000</v>
      </c>
      <c r="K62" s="3" t="s">
        <v>46</v>
      </c>
      <c r="L62" s="5">
        <v>1</v>
      </c>
      <c r="M62" s="28">
        <v>16667</v>
      </c>
      <c r="N62" s="29">
        <v>16667</v>
      </c>
      <c r="Q62" s="72"/>
    </row>
    <row r="63" spans="2:17" x14ac:dyDescent="0.25">
      <c r="B63" s="34" t="s">
        <v>143</v>
      </c>
      <c r="C63" s="54" t="s">
        <v>121</v>
      </c>
      <c r="D63" s="5" t="s">
        <v>94</v>
      </c>
      <c r="E63" s="75">
        <v>46162</v>
      </c>
      <c r="F63" s="78">
        <v>46168</v>
      </c>
      <c r="G63" s="39">
        <v>56</v>
      </c>
      <c r="H63" s="38">
        <v>10000</v>
      </c>
      <c r="I63" s="38">
        <f t="shared" si="4"/>
        <v>560000</v>
      </c>
      <c r="K63" s="3" t="s">
        <v>47</v>
      </c>
      <c r="L63" s="5">
        <v>1</v>
      </c>
      <c r="M63" s="28">
        <v>500</v>
      </c>
      <c r="N63" s="29">
        <v>500</v>
      </c>
      <c r="Q63" s="72"/>
    </row>
    <row r="64" spans="2:17" x14ac:dyDescent="0.25">
      <c r="B64" s="34" t="s">
        <v>144</v>
      </c>
      <c r="C64" s="54" t="s">
        <v>145</v>
      </c>
      <c r="D64" s="5" t="s">
        <v>94</v>
      </c>
      <c r="E64" s="75">
        <v>46169</v>
      </c>
      <c r="F64" s="78">
        <v>46171</v>
      </c>
      <c r="G64" s="39">
        <v>24</v>
      </c>
      <c r="H64" s="38">
        <v>10000</v>
      </c>
      <c r="I64" s="38">
        <f t="shared" si="4"/>
        <v>240000</v>
      </c>
      <c r="K64" s="3" t="s">
        <v>209</v>
      </c>
      <c r="L64" s="5">
        <v>1</v>
      </c>
      <c r="M64" s="28">
        <v>500</v>
      </c>
      <c r="N64" s="29">
        <v>500</v>
      </c>
      <c r="P64" s="26"/>
    </row>
    <row r="65" spans="2:16" x14ac:dyDescent="0.25">
      <c r="B65" s="34" t="s">
        <v>146</v>
      </c>
      <c r="C65" s="54" t="s">
        <v>147</v>
      </c>
      <c r="D65" s="5" t="s">
        <v>94</v>
      </c>
      <c r="E65" s="75">
        <v>46172</v>
      </c>
      <c r="F65" s="78">
        <v>46172</v>
      </c>
      <c r="G65" s="39">
        <v>8</v>
      </c>
      <c r="H65" s="38">
        <v>10000</v>
      </c>
      <c r="I65" s="38">
        <f t="shared" si="4"/>
        <v>80000</v>
      </c>
      <c r="K65" s="3" t="s">
        <v>210</v>
      </c>
      <c r="L65" s="5">
        <v>1</v>
      </c>
      <c r="M65" s="28">
        <v>6714</v>
      </c>
      <c r="N65" s="29">
        <v>6714</v>
      </c>
      <c r="P65" s="26"/>
    </row>
    <row r="66" spans="2:16" x14ac:dyDescent="0.25">
      <c r="B66" s="34" t="s">
        <v>148</v>
      </c>
      <c r="C66" s="54" t="s">
        <v>149</v>
      </c>
      <c r="D66" s="5" t="s">
        <v>150</v>
      </c>
      <c r="E66" s="75">
        <v>46172</v>
      </c>
      <c r="F66" s="78">
        <v>46179</v>
      </c>
      <c r="G66" s="39">
        <v>0</v>
      </c>
      <c r="H66" s="38">
        <v>0</v>
      </c>
      <c r="I66" s="38">
        <f t="shared" si="4"/>
        <v>0</v>
      </c>
      <c r="K66" s="3" t="s">
        <v>50</v>
      </c>
      <c r="L66" s="5">
        <v>1</v>
      </c>
      <c r="M66" s="28">
        <v>80000</v>
      </c>
      <c r="N66" s="29">
        <v>80000</v>
      </c>
      <c r="P66" s="26"/>
    </row>
    <row r="67" spans="2:16" x14ac:dyDescent="0.25">
      <c r="B67" s="34" t="s">
        <v>151</v>
      </c>
      <c r="C67" s="54" t="s">
        <v>152</v>
      </c>
      <c r="D67" s="5" t="s">
        <v>150</v>
      </c>
      <c r="E67" s="75">
        <v>46172</v>
      </c>
      <c r="F67" s="78">
        <v>46179</v>
      </c>
      <c r="G67" s="39">
        <v>0</v>
      </c>
      <c r="H67" s="38">
        <v>0</v>
      </c>
      <c r="I67" s="38">
        <f t="shared" si="4"/>
        <v>0</v>
      </c>
      <c r="K67" s="61" t="s">
        <v>211</v>
      </c>
      <c r="L67" s="5">
        <v>1</v>
      </c>
      <c r="M67" s="28">
        <v>1050000</v>
      </c>
      <c r="N67" s="29">
        <v>1050000</v>
      </c>
      <c r="P67" s="26"/>
    </row>
    <row r="68" spans="2:16" x14ac:dyDescent="0.25">
      <c r="B68" s="34" t="s">
        <v>153</v>
      </c>
      <c r="C68" s="54" t="s">
        <v>154</v>
      </c>
      <c r="D68" s="5" t="s">
        <v>94</v>
      </c>
      <c r="E68" s="75">
        <v>46169</v>
      </c>
      <c r="F68" s="78">
        <v>46172</v>
      </c>
      <c r="G68" s="39">
        <v>32</v>
      </c>
      <c r="H68" s="38">
        <v>10000</v>
      </c>
      <c r="I68" s="38">
        <f t="shared" si="4"/>
        <v>320000</v>
      </c>
      <c r="K68" s="3" t="s">
        <v>212</v>
      </c>
      <c r="L68" s="5">
        <v>1</v>
      </c>
      <c r="M68" s="28">
        <v>120000</v>
      </c>
      <c r="N68" s="29">
        <v>120000</v>
      </c>
      <c r="P68" s="26"/>
    </row>
    <row r="69" spans="2:16" x14ac:dyDescent="0.25">
      <c r="B69" s="34" t="s">
        <v>155</v>
      </c>
      <c r="C69" s="54" t="s">
        <v>156</v>
      </c>
      <c r="D69" s="5" t="s">
        <v>94</v>
      </c>
      <c r="E69" s="75">
        <v>46173</v>
      </c>
      <c r="F69" s="78">
        <v>46176</v>
      </c>
      <c r="G69" s="39">
        <v>32</v>
      </c>
      <c r="H69" s="38">
        <v>10000</v>
      </c>
      <c r="I69" s="38">
        <f t="shared" si="4"/>
        <v>320000</v>
      </c>
      <c r="K69" s="3" t="s">
        <v>213</v>
      </c>
      <c r="L69" s="5">
        <v>1</v>
      </c>
      <c r="M69" s="28">
        <v>160000</v>
      </c>
      <c r="N69" s="29">
        <v>160000</v>
      </c>
    </row>
    <row r="70" spans="2:16" x14ac:dyDescent="0.25">
      <c r="B70" s="34" t="s">
        <v>157</v>
      </c>
      <c r="C70" s="54" t="s">
        <v>158</v>
      </c>
      <c r="D70" s="5" t="s">
        <v>94</v>
      </c>
      <c r="E70" s="75">
        <v>46177</v>
      </c>
      <c r="F70" s="78">
        <v>46180</v>
      </c>
      <c r="G70" s="39">
        <v>32</v>
      </c>
      <c r="H70" s="38">
        <v>10000</v>
      </c>
      <c r="I70" s="38">
        <f t="shared" si="4"/>
        <v>320000</v>
      </c>
      <c r="K70" s="3" t="s">
        <v>214</v>
      </c>
      <c r="L70" s="5">
        <v>1</v>
      </c>
      <c r="M70" s="28">
        <v>35000</v>
      </c>
      <c r="N70" s="29">
        <v>35000</v>
      </c>
    </row>
    <row r="71" spans="2:16" x14ac:dyDescent="0.25">
      <c r="B71" s="34" t="s">
        <v>159</v>
      </c>
      <c r="C71" s="54" t="s">
        <v>160</v>
      </c>
      <c r="D71" s="5" t="s">
        <v>94</v>
      </c>
      <c r="E71" s="75">
        <v>46181</v>
      </c>
      <c r="F71" s="78">
        <v>46184</v>
      </c>
      <c r="G71" s="39">
        <v>32</v>
      </c>
      <c r="H71" s="38">
        <v>10000</v>
      </c>
      <c r="I71" s="38">
        <f t="shared" si="4"/>
        <v>320000</v>
      </c>
      <c r="K71" s="3" t="s">
        <v>215</v>
      </c>
      <c r="L71" s="5">
        <v>1</v>
      </c>
      <c r="M71" s="28">
        <v>80000</v>
      </c>
      <c r="N71" s="29">
        <v>80000</v>
      </c>
    </row>
    <row r="72" spans="2:16" x14ac:dyDescent="0.25">
      <c r="B72" s="34" t="s">
        <v>161</v>
      </c>
      <c r="C72" s="54" t="s">
        <v>162</v>
      </c>
      <c r="D72" s="5" t="s">
        <v>94</v>
      </c>
      <c r="E72" s="75">
        <v>46185</v>
      </c>
      <c r="F72" s="78">
        <v>46188</v>
      </c>
      <c r="G72" s="39">
        <v>32</v>
      </c>
      <c r="H72" s="38">
        <v>10000</v>
      </c>
      <c r="I72" s="38">
        <f t="shared" si="4"/>
        <v>320000</v>
      </c>
      <c r="K72" s="3" t="s">
        <v>216</v>
      </c>
      <c r="L72" s="5">
        <v>16</v>
      </c>
      <c r="M72" s="28">
        <v>1000</v>
      </c>
      <c r="N72" s="29">
        <v>16000</v>
      </c>
    </row>
    <row r="73" spans="2:16" x14ac:dyDescent="0.25">
      <c r="B73" s="34" t="s">
        <v>163</v>
      </c>
      <c r="C73" s="54" t="s">
        <v>164</v>
      </c>
      <c r="D73" s="5" t="s">
        <v>94</v>
      </c>
      <c r="E73" s="75">
        <v>46189</v>
      </c>
      <c r="F73" s="78">
        <v>46192</v>
      </c>
      <c r="G73" s="39">
        <v>32</v>
      </c>
      <c r="H73" s="38">
        <v>10000</v>
      </c>
      <c r="I73" s="38">
        <f t="shared" si="4"/>
        <v>320000</v>
      </c>
      <c r="K73" s="30"/>
      <c r="L73" s="31"/>
      <c r="M73" s="32" t="s">
        <v>217</v>
      </c>
      <c r="N73" s="33">
        <f>SUM(N41:N72)</f>
        <v>2700790</v>
      </c>
    </row>
    <row r="74" spans="2:16" x14ac:dyDescent="0.25">
      <c r="B74" s="34" t="s">
        <v>165</v>
      </c>
      <c r="C74" s="54" t="s">
        <v>166</v>
      </c>
      <c r="D74" s="5" t="s">
        <v>94</v>
      </c>
      <c r="E74" s="75">
        <v>46193</v>
      </c>
      <c r="F74" s="78">
        <v>46196</v>
      </c>
      <c r="G74" s="39">
        <v>32</v>
      </c>
      <c r="H74" s="38">
        <v>10000</v>
      </c>
      <c r="I74" s="38">
        <f t="shared" si="4"/>
        <v>320000</v>
      </c>
      <c r="M74" s="72"/>
      <c r="N74" s="72"/>
    </row>
    <row r="75" spans="2:16" x14ac:dyDescent="0.25">
      <c r="B75" s="34" t="s">
        <v>167</v>
      </c>
      <c r="C75" s="54" t="s">
        <v>168</v>
      </c>
      <c r="D75" s="5" t="s">
        <v>94</v>
      </c>
      <c r="E75" s="75">
        <v>46197</v>
      </c>
      <c r="F75" s="78">
        <v>46200</v>
      </c>
      <c r="G75" s="39">
        <v>32</v>
      </c>
      <c r="H75" s="38">
        <v>10000</v>
      </c>
      <c r="I75" s="38">
        <f t="shared" si="4"/>
        <v>320000</v>
      </c>
      <c r="M75" s="72"/>
      <c r="N75" s="72"/>
    </row>
    <row r="76" spans="2:16" x14ac:dyDescent="0.25">
      <c r="B76" s="34" t="s">
        <v>169</v>
      </c>
      <c r="C76" s="54" t="s">
        <v>170</v>
      </c>
      <c r="D76" s="5" t="s">
        <v>94</v>
      </c>
      <c r="E76" s="75">
        <v>46201</v>
      </c>
      <c r="F76" s="78">
        <v>46202</v>
      </c>
      <c r="G76" s="39">
        <v>16</v>
      </c>
      <c r="H76" s="38">
        <v>10000</v>
      </c>
      <c r="I76" s="38">
        <f t="shared" si="4"/>
        <v>160000</v>
      </c>
      <c r="M76" s="72"/>
      <c r="N76" s="72"/>
    </row>
    <row r="77" spans="2:16" x14ac:dyDescent="0.25">
      <c r="B77" s="34" t="s">
        <v>171</v>
      </c>
      <c r="C77" s="54" t="s">
        <v>172</v>
      </c>
      <c r="D77" s="5" t="s">
        <v>94</v>
      </c>
      <c r="E77" s="75">
        <v>46203</v>
      </c>
      <c r="F77" s="78">
        <v>46204</v>
      </c>
      <c r="G77" s="39">
        <v>16</v>
      </c>
      <c r="H77" s="38">
        <v>10000</v>
      </c>
      <c r="I77" s="38">
        <f t="shared" si="4"/>
        <v>160000</v>
      </c>
      <c r="M77" s="72"/>
      <c r="N77" s="72"/>
    </row>
    <row r="78" spans="2:16" x14ac:dyDescent="0.25">
      <c r="B78" s="34" t="s">
        <v>173</v>
      </c>
      <c r="C78" s="54" t="s">
        <v>174</v>
      </c>
      <c r="D78" s="5" t="s">
        <v>94</v>
      </c>
      <c r="E78" s="75">
        <v>46180</v>
      </c>
      <c r="F78" s="78">
        <v>46182</v>
      </c>
      <c r="G78" s="39">
        <v>8</v>
      </c>
      <c r="H78" s="38">
        <v>10000</v>
      </c>
      <c r="I78" s="38">
        <f t="shared" si="4"/>
        <v>80000</v>
      </c>
      <c r="M78" s="72"/>
      <c r="N78" s="72"/>
    </row>
    <row r="79" spans="2:16" x14ac:dyDescent="0.25">
      <c r="B79" s="34" t="s">
        <v>175</v>
      </c>
      <c r="C79" s="54" t="s">
        <v>176</v>
      </c>
      <c r="D79" s="5" t="s">
        <v>150</v>
      </c>
      <c r="E79" s="75">
        <v>46183</v>
      </c>
      <c r="F79" s="78">
        <v>46189</v>
      </c>
      <c r="G79" s="39">
        <v>0</v>
      </c>
      <c r="H79" s="38">
        <v>0</v>
      </c>
      <c r="I79" s="38">
        <f t="shared" si="4"/>
        <v>0</v>
      </c>
      <c r="M79" s="72"/>
      <c r="N79" s="72"/>
    </row>
    <row r="80" spans="2:16" x14ac:dyDescent="0.25">
      <c r="B80" s="34" t="s">
        <v>177</v>
      </c>
      <c r="C80" s="54" t="s">
        <v>178</v>
      </c>
      <c r="D80" s="5" t="s">
        <v>94</v>
      </c>
      <c r="E80" s="75">
        <v>46190</v>
      </c>
      <c r="F80" s="78">
        <v>46192</v>
      </c>
      <c r="G80" s="39">
        <v>24</v>
      </c>
      <c r="H80" s="38">
        <v>10000</v>
      </c>
      <c r="I80" s="38">
        <f t="shared" si="4"/>
        <v>240000</v>
      </c>
      <c r="M80" s="72"/>
      <c r="N80" s="72"/>
    </row>
    <row r="81" spans="2:14" x14ac:dyDescent="0.25">
      <c r="B81" s="34" t="s">
        <v>179</v>
      </c>
      <c r="C81" s="54" t="s">
        <v>180</v>
      </c>
      <c r="D81" s="5" t="s">
        <v>94</v>
      </c>
      <c r="E81" s="75">
        <v>46193</v>
      </c>
      <c r="F81" s="78">
        <v>46194</v>
      </c>
      <c r="G81" s="39">
        <v>4</v>
      </c>
      <c r="H81" s="38">
        <v>10000</v>
      </c>
      <c r="I81" s="38">
        <f t="shared" si="4"/>
        <v>40000</v>
      </c>
      <c r="M81" s="72"/>
      <c r="N81" s="72"/>
    </row>
    <row r="82" spans="2:14" x14ac:dyDescent="0.25">
      <c r="B82" s="34" t="s">
        <v>181</v>
      </c>
      <c r="C82" s="54" t="s">
        <v>182</v>
      </c>
      <c r="D82" s="5" t="s">
        <v>94</v>
      </c>
      <c r="E82" s="75">
        <v>46195</v>
      </c>
      <c r="F82" s="78">
        <v>46196</v>
      </c>
      <c r="G82" s="39">
        <v>16</v>
      </c>
      <c r="H82" s="38">
        <v>10000</v>
      </c>
      <c r="I82" s="38">
        <f t="shared" si="4"/>
        <v>160000</v>
      </c>
      <c r="M82" s="72"/>
      <c r="N82" s="72"/>
    </row>
    <row r="83" spans="2:14" x14ac:dyDescent="0.25">
      <c r="B83" s="34" t="s">
        <v>183</v>
      </c>
      <c r="C83" s="54" t="s">
        <v>184</v>
      </c>
      <c r="D83" s="5" t="s">
        <v>94</v>
      </c>
      <c r="E83" s="75">
        <v>46205</v>
      </c>
      <c r="F83" s="78">
        <v>46207</v>
      </c>
      <c r="G83" s="39">
        <v>24</v>
      </c>
      <c r="H83" s="38">
        <v>10000</v>
      </c>
      <c r="I83" s="38">
        <f t="shared" si="4"/>
        <v>240000</v>
      </c>
      <c r="M83" s="72"/>
      <c r="N83" s="72"/>
    </row>
    <row r="84" spans="2:14" x14ac:dyDescent="0.25">
      <c r="B84" s="34" t="s">
        <v>185</v>
      </c>
      <c r="C84" s="54" t="s">
        <v>186</v>
      </c>
      <c r="D84" s="5" t="s">
        <v>94</v>
      </c>
      <c r="E84" s="75">
        <v>46208</v>
      </c>
      <c r="F84" s="78">
        <v>46211</v>
      </c>
      <c r="G84" s="39">
        <v>32</v>
      </c>
      <c r="H84" s="38">
        <v>10000</v>
      </c>
      <c r="I84" s="38">
        <f t="shared" si="4"/>
        <v>320000</v>
      </c>
      <c r="M84" s="72"/>
      <c r="N84" s="72"/>
    </row>
    <row r="85" spans="2:14" x14ac:dyDescent="0.25">
      <c r="B85" s="34" t="s">
        <v>187</v>
      </c>
      <c r="C85" s="54" t="s">
        <v>188</v>
      </c>
      <c r="D85" s="5" t="s">
        <v>94</v>
      </c>
      <c r="E85" s="75">
        <v>46212</v>
      </c>
      <c r="F85" s="78">
        <v>46214</v>
      </c>
      <c r="G85" s="39">
        <v>24</v>
      </c>
      <c r="H85" s="38">
        <v>10000</v>
      </c>
      <c r="I85" s="38">
        <f t="shared" si="4"/>
        <v>240000</v>
      </c>
      <c r="M85" s="72"/>
      <c r="N85" s="72"/>
    </row>
    <row r="86" spans="2:14" x14ac:dyDescent="0.25">
      <c r="B86" s="34" t="s">
        <v>189</v>
      </c>
      <c r="C86" s="54" t="s">
        <v>190</v>
      </c>
      <c r="D86" s="5" t="s">
        <v>94</v>
      </c>
      <c r="E86" s="75">
        <v>46215</v>
      </c>
      <c r="F86" s="78">
        <v>46218</v>
      </c>
      <c r="G86" s="39">
        <v>32</v>
      </c>
      <c r="H86" s="38">
        <v>10000</v>
      </c>
      <c r="I86" s="38">
        <f t="shared" si="4"/>
        <v>320000</v>
      </c>
      <c r="M86" s="72"/>
      <c r="N86" s="72"/>
    </row>
    <row r="87" spans="2:14" ht="27" x14ac:dyDescent="0.25">
      <c r="B87" s="47">
        <v>4</v>
      </c>
      <c r="C87" s="57" t="s">
        <v>135</v>
      </c>
      <c r="D87" s="48" t="s">
        <v>95</v>
      </c>
      <c r="E87" s="81">
        <v>46226</v>
      </c>
      <c r="F87" s="82">
        <v>46230</v>
      </c>
      <c r="G87" s="24">
        <f>SUM(G88:G91)</f>
        <v>34</v>
      </c>
      <c r="H87" s="25">
        <v>30000</v>
      </c>
      <c r="I87" s="25">
        <f>SUM(I88:I91)</f>
        <v>500000</v>
      </c>
      <c r="M87" s="72"/>
      <c r="N87" s="72"/>
    </row>
    <row r="88" spans="2:14" x14ac:dyDescent="0.25">
      <c r="B88" s="34" t="s">
        <v>20</v>
      </c>
      <c r="C88" s="54" t="s">
        <v>136</v>
      </c>
      <c r="D88" s="39" t="s">
        <v>90</v>
      </c>
      <c r="E88" s="75">
        <v>46226</v>
      </c>
      <c r="F88" s="78">
        <v>46226</v>
      </c>
      <c r="G88" s="39">
        <v>10</v>
      </c>
      <c r="H88" s="38">
        <v>10000</v>
      </c>
      <c r="I88" s="38">
        <f t="shared" si="4"/>
        <v>100000</v>
      </c>
      <c r="M88" s="72"/>
      <c r="N88" s="72"/>
    </row>
    <row r="89" spans="2:14" ht="27" x14ac:dyDescent="0.25">
      <c r="B89" s="34" t="s">
        <v>21</v>
      </c>
      <c r="C89" s="54" t="s">
        <v>137</v>
      </c>
      <c r="D89" s="36" t="s">
        <v>221</v>
      </c>
      <c r="E89" s="75">
        <v>46226</v>
      </c>
      <c r="F89" s="78">
        <v>46227</v>
      </c>
      <c r="G89" s="39">
        <v>16</v>
      </c>
      <c r="H89" s="38">
        <v>20000</v>
      </c>
      <c r="I89" s="38">
        <f t="shared" si="4"/>
        <v>320000</v>
      </c>
      <c r="M89" s="72"/>
      <c r="N89" s="72"/>
    </row>
    <row r="90" spans="2:14" x14ac:dyDescent="0.25">
      <c r="B90" s="34" t="s">
        <v>109</v>
      </c>
      <c r="C90" s="54" t="s">
        <v>138</v>
      </c>
      <c r="D90" s="39" t="s">
        <v>92</v>
      </c>
      <c r="E90" s="75">
        <v>46228</v>
      </c>
      <c r="F90" s="78">
        <v>46228</v>
      </c>
      <c r="G90" s="39">
        <v>4</v>
      </c>
      <c r="H90" s="38">
        <v>10000</v>
      </c>
      <c r="I90" s="38">
        <f t="shared" si="4"/>
        <v>40000</v>
      </c>
      <c r="M90" s="72"/>
      <c r="N90" s="72"/>
    </row>
    <row r="91" spans="2:14" x14ac:dyDescent="0.25">
      <c r="B91" s="34" t="s">
        <v>110</v>
      </c>
      <c r="C91" s="54" t="s">
        <v>222</v>
      </c>
      <c r="D91" s="39" t="s">
        <v>90</v>
      </c>
      <c r="E91" s="75">
        <v>46229</v>
      </c>
      <c r="F91" s="78">
        <v>46230</v>
      </c>
      <c r="G91" s="39">
        <v>4</v>
      </c>
      <c r="H91" s="38">
        <v>10000</v>
      </c>
      <c r="I91" s="38">
        <f t="shared" si="4"/>
        <v>40000</v>
      </c>
      <c r="M91" s="72"/>
      <c r="N91" s="72"/>
    </row>
    <row r="92" spans="2:14" x14ac:dyDescent="0.25">
      <c r="B92" s="63">
        <v>5</v>
      </c>
      <c r="C92" s="64" t="s">
        <v>124</v>
      </c>
      <c r="D92" s="65" t="s">
        <v>106</v>
      </c>
      <c r="E92" s="83">
        <v>46231</v>
      </c>
      <c r="F92" s="84">
        <v>46295</v>
      </c>
      <c r="G92" s="66">
        <f>SUM(G93:G98)</f>
        <v>240</v>
      </c>
      <c r="H92" s="67">
        <v>12000</v>
      </c>
      <c r="I92" s="67">
        <v>2880000</v>
      </c>
      <c r="M92" s="72"/>
      <c r="N92" s="72"/>
    </row>
    <row r="93" spans="2:14" x14ac:dyDescent="0.25">
      <c r="B93" s="34" t="s">
        <v>125</v>
      </c>
      <c r="C93" s="54" t="s">
        <v>126</v>
      </c>
      <c r="D93" s="39" t="s">
        <v>92</v>
      </c>
      <c r="E93" s="75">
        <v>46231</v>
      </c>
      <c r="F93" s="78">
        <v>46235</v>
      </c>
      <c r="G93" s="39">
        <v>40</v>
      </c>
      <c r="H93" s="38">
        <v>10000</v>
      </c>
      <c r="I93" s="38">
        <f t="shared" si="4"/>
        <v>400000</v>
      </c>
      <c r="M93" s="72"/>
      <c r="N93" s="72"/>
    </row>
    <row r="94" spans="2:14" x14ac:dyDescent="0.25">
      <c r="B94" s="34" t="s">
        <v>127</v>
      </c>
      <c r="C94" s="54" t="s">
        <v>128</v>
      </c>
      <c r="D94" s="36" t="s">
        <v>92</v>
      </c>
      <c r="E94" s="75">
        <v>46236</v>
      </c>
      <c r="F94" s="78">
        <v>46250</v>
      </c>
      <c r="G94" s="39">
        <v>60</v>
      </c>
      <c r="H94" s="38">
        <v>12000</v>
      </c>
      <c r="I94" s="38">
        <f t="shared" si="4"/>
        <v>720000</v>
      </c>
      <c r="M94" s="72"/>
      <c r="N94" s="72"/>
    </row>
    <row r="95" spans="2:14" x14ac:dyDescent="0.25">
      <c r="B95" s="34" t="s">
        <v>129</v>
      </c>
      <c r="C95" s="54" t="s">
        <v>223</v>
      </c>
      <c r="D95" s="39" t="s">
        <v>92</v>
      </c>
      <c r="E95" s="75">
        <v>46251</v>
      </c>
      <c r="F95" s="78">
        <v>46265</v>
      </c>
      <c r="G95" s="39">
        <v>60</v>
      </c>
      <c r="H95" s="38">
        <v>12000</v>
      </c>
      <c r="I95" s="38">
        <f t="shared" si="4"/>
        <v>720000</v>
      </c>
      <c r="M95" s="72"/>
      <c r="N95" s="72"/>
    </row>
    <row r="96" spans="2:14" x14ac:dyDescent="0.25">
      <c r="B96" s="34" t="s">
        <v>130</v>
      </c>
      <c r="C96" s="54" t="s">
        <v>224</v>
      </c>
      <c r="D96" s="39" t="s">
        <v>92</v>
      </c>
      <c r="E96" s="75">
        <v>46266</v>
      </c>
      <c r="F96" s="78">
        <v>46275</v>
      </c>
      <c r="G96" s="39">
        <v>40</v>
      </c>
      <c r="H96" s="38">
        <v>10000</v>
      </c>
      <c r="I96" s="38">
        <f t="shared" si="4"/>
        <v>400000</v>
      </c>
      <c r="M96" s="72"/>
      <c r="N96" s="72"/>
    </row>
    <row r="97" spans="2:14" x14ac:dyDescent="0.25">
      <c r="B97" s="34" t="s">
        <v>131</v>
      </c>
      <c r="C97" s="54" t="s">
        <v>132</v>
      </c>
      <c r="D97" s="39" t="s">
        <v>92</v>
      </c>
      <c r="E97" s="75">
        <v>46276</v>
      </c>
      <c r="F97" s="78">
        <v>46285</v>
      </c>
      <c r="G97" s="39">
        <v>20</v>
      </c>
      <c r="H97" s="38">
        <v>10000</v>
      </c>
      <c r="I97" s="38">
        <f t="shared" si="4"/>
        <v>200000</v>
      </c>
      <c r="M97" s="72"/>
      <c r="N97" s="72"/>
    </row>
    <row r="98" spans="2:14" x14ac:dyDescent="0.25">
      <c r="B98" s="34" t="s">
        <v>133</v>
      </c>
      <c r="C98" s="54" t="s">
        <v>134</v>
      </c>
      <c r="D98" s="36" t="s">
        <v>92</v>
      </c>
      <c r="E98" s="75">
        <v>46286</v>
      </c>
      <c r="F98" s="78">
        <v>46295</v>
      </c>
      <c r="G98" s="39">
        <v>20</v>
      </c>
      <c r="H98" s="38">
        <v>10000</v>
      </c>
      <c r="I98" s="38">
        <f t="shared" si="4"/>
        <v>200000</v>
      </c>
      <c r="M98" s="72"/>
      <c r="N98" s="72"/>
    </row>
    <row r="99" spans="2:14" x14ac:dyDescent="0.25">
      <c r="C99" s="54" t="s">
        <v>52</v>
      </c>
      <c r="E99" s="62"/>
      <c r="F99" s="62"/>
      <c r="I99" s="38">
        <f>SUM(I41+I49+I56+I87+I92)</f>
        <v>18340000</v>
      </c>
      <c r="M99" s="72"/>
      <c r="N99" s="72"/>
    </row>
    <row r="100" spans="2:14" x14ac:dyDescent="0.25">
      <c r="E100" s="62"/>
      <c r="F100" s="62"/>
      <c r="M100" s="72"/>
      <c r="N100" s="72"/>
    </row>
    <row r="101" spans="2:14" x14ac:dyDescent="0.25">
      <c r="E101" s="62"/>
      <c r="F101" s="62"/>
      <c r="M101" s="72"/>
      <c r="N101" s="72"/>
    </row>
    <row r="102" spans="2:14" x14ac:dyDescent="0.25">
      <c r="B102" s="52"/>
      <c r="C102" s="52"/>
      <c r="D102" s="52"/>
      <c r="E102" s="86"/>
      <c r="F102" s="86"/>
      <c r="G102" s="69"/>
      <c r="H102" s="87"/>
      <c r="I102" s="87"/>
      <c r="M102" s="72"/>
      <c r="N102" s="72"/>
    </row>
    <row r="103" spans="2:14" x14ac:dyDescent="0.25">
      <c r="B103" s="52"/>
      <c r="C103" s="52"/>
      <c r="D103" s="52"/>
      <c r="E103" s="86"/>
      <c r="F103" s="86"/>
      <c r="G103" s="69"/>
      <c r="H103" s="87"/>
      <c r="I103" s="87"/>
      <c r="M103" s="72"/>
      <c r="N103" s="72"/>
    </row>
    <row r="104" spans="2:14" x14ac:dyDescent="0.25">
      <c r="B104" s="70"/>
      <c r="C104" s="70"/>
      <c r="D104" s="70"/>
      <c r="E104" s="71"/>
      <c r="F104" s="71"/>
      <c r="G104" s="68"/>
      <c r="H104" s="73"/>
      <c r="I104" s="73"/>
      <c r="M104" s="72"/>
      <c r="N104" s="72"/>
    </row>
    <row r="105" spans="2:14" x14ac:dyDescent="0.25">
      <c r="B105" s="70"/>
      <c r="C105" s="70"/>
      <c r="D105" s="70"/>
      <c r="E105" s="71"/>
      <c r="F105" s="71"/>
      <c r="G105" s="68"/>
      <c r="H105" s="73"/>
      <c r="I105" s="73"/>
      <c r="M105" s="72"/>
      <c r="N105" s="72"/>
    </row>
    <row r="106" spans="2:14" x14ac:dyDescent="0.25">
      <c r="B106" s="70"/>
      <c r="C106" s="70"/>
      <c r="D106" s="70"/>
      <c r="E106" s="71"/>
      <c r="F106" s="71"/>
      <c r="G106" s="68"/>
      <c r="H106" s="73"/>
      <c r="I106" s="73"/>
    </row>
    <row r="107" spans="2:14" x14ac:dyDescent="0.25">
      <c r="B107" s="70"/>
      <c r="C107" s="70"/>
      <c r="D107" s="70"/>
      <c r="E107" s="71"/>
      <c r="F107" s="71"/>
      <c r="G107" s="68"/>
      <c r="H107" s="73"/>
      <c r="I107" s="73"/>
    </row>
    <row r="108" spans="2:14" x14ac:dyDescent="0.25">
      <c r="B108" s="70"/>
      <c r="C108" s="70"/>
      <c r="D108" s="70"/>
      <c r="E108" s="71"/>
      <c r="F108" s="71"/>
      <c r="G108" s="68"/>
      <c r="H108" s="73"/>
      <c r="I108" s="73"/>
    </row>
    <row r="109" spans="2:14" x14ac:dyDescent="0.25">
      <c r="B109" s="70"/>
      <c r="C109" s="70"/>
      <c r="D109" s="70"/>
      <c r="E109" s="71"/>
      <c r="F109" s="71"/>
      <c r="G109" s="85"/>
      <c r="H109" s="73"/>
      <c r="I109" s="73"/>
    </row>
    <row r="110" spans="2:14" x14ac:dyDescent="0.25">
      <c r="B110" s="70"/>
      <c r="C110" s="70"/>
      <c r="D110" s="70"/>
      <c r="E110" s="71"/>
      <c r="F110" s="71"/>
      <c r="G110" s="85"/>
      <c r="H110" s="73"/>
      <c r="I110" s="73"/>
    </row>
    <row r="111" spans="2:14" x14ac:dyDescent="0.25">
      <c r="B111" s="70"/>
      <c r="C111" s="70"/>
      <c r="D111" s="70"/>
      <c r="E111" s="71"/>
      <c r="F111" s="71"/>
      <c r="G111" s="85"/>
      <c r="H111" s="73"/>
      <c r="I111" s="73"/>
    </row>
    <row r="112" spans="2:14" x14ac:dyDescent="0.25">
      <c r="B112" s="70"/>
      <c r="C112" s="70"/>
      <c r="D112" s="70"/>
      <c r="E112" s="71"/>
      <c r="F112" s="71"/>
      <c r="G112" s="85"/>
      <c r="H112" s="73"/>
      <c r="I112" s="73"/>
    </row>
    <row r="113" spans="2:10" x14ac:dyDescent="0.25">
      <c r="B113" s="70"/>
      <c r="C113" s="70"/>
      <c r="D113" s="70"/>
      <c r="E113" s="71"/>
      <c r="F113" s="71"/>
      <c r="G113" s="68"/>
      <c r="H113" s="73"/>
      <c r="I113" s="73"/>
    </row>
    <row r="114" spans="2:10" x14ac:dyDescent="0.25">
      <c r="B114" s="70"/>
      <c r="C114" s="70"/>
      <c r="D114" s="70"/>
      <c r="E114" s="71"/>
      <c r="F114" s="71"/>
      <c r="G114" s="68"/>
      <c r="H114" s="73"/>
      <c r="I114" s="73"/>
    </row>
    <row r="115" spans="2:10" x14ac:dyDescent="0.25">
      <c r="B115" s="70"/>
      <c r="C115" s="70"/>
      <c r="D115" s="70"/>
      <c r="E115" s="71"/>
      <c r="F115" s="71"/>
      <c r="G115" s="68"/>
      <c r="H115" s="73"/>
      <c r="I115" s="73"/>
    </row>
    <row r="116" spans="2:10" x14ac:dyDescent="0.25">
      <c r="B116" s="70"/>
      <c r="C116" s="70"/>
      <c r="D116" s="70"/>
      <c r="E116" s="71"/>
      <c r="F116" s="71"/>
      <c r="G116" s="68"/>
      <c r="H116" s="73"/>
      <c r="I116" s="73"/>
    </row>
    <row r="117" spans="2:10" x14ac:dyDescent="0.25">
      <c r="B117" s="70"/>
      <c r="C117" s="70"/>
      <c r="D117" s="70"/>
      <c r="E117" s="71"/>
      <c r="F117" s="71"/>
      <c r="G117" s="68"/>
      <c r="H117" s="73"/>
      <c r="I117" s="73"/>
      <c r="J117" s="72"/>
    </row>
    <row r="118" spans="2:10" x14ac:dyDescent="0.25">
      <c r="B118" s="70"/>
      <c r="C118" s="70"/>
      <c r="D118" s="70"/>
      <c r="E118" s="71"/>
      <c r="F118" s="71"/>
      <c r="G118" s="68"/>
      <c r="H118" s="73"/>
      <c r="I118" s="73"/>
      <c r="J118" s="72"/>
    </row>
    <row r="119" spans="2:10" x14ac:dyDescent="0.25">
      <c r="B119" s="70"/>
      <c r="C119" s="70"/>
      <c r="D119" s="70"/>
      <c r="E119" s="71"/>
      <c r="F119" s="71"/>
      <c r="G119" s="68"/>
      <c r="H119" s="73"/>
      <c r="I119" s="73"/>
      <c r="J119" s="72"/>
    </row>
    <row r="120" spans="2:10" x14ac:dyDescent="0.25">
      <c r="B120" s="70"/>
      <c r="C120" s="70"/>
      <c r="D120" s="70"/>
      <c r="E120" s="71"/>
      <c r="F120" s="71"/>
      <c r="G120" s="68"/>
      <c r="H120" s="73"/>
      <c r="I120" s="73"/>
      <c r="J120" s="72"/>
    </row>
    <row r="121" spans="2:10" x14ac:dyDescent="0.25">
      <c r="B121" s="70"/>
      <c r="C121" s="70"/>
      <c r="D121" s="70"/>
      <c r="E121" s="71"/>
      <c r="F121" s="71"/>
      <c r="G121" s="68"/>
      <c r="H121" s="73"/>
      <c r="I121" s="73"/>
      <c r="J121" s="72"/>
    </row>
    <row r="122" spans="2:10" x14ac:dyDescent="0.25">
      <c r="B122" s="70"/>
      <c r="C122" s="70"/>
      <c r="D122" s="70"/>
      <c r="E122" s="71"/>
      <c r="F122" s="71"/>
      <c r="G122" s="68"/>
      <c r="H122" s="73"/>
      <c r="I122" s="73"/>
      <c r="J122" s="72"/>
    </row>
    <row r="123" spans="2:10" x14ac:dyDescent="0.25">
      <c r="B123" s="70"/>
      <c r="C123" s="70"/>
      <c r="D123" s="70"/>
      <c r="E123" s="71"/>
      <c r="F123" s="71"/>
      <c r="G123" s="68"/>
      <c r="H123" s="73"/>
      <c r="I123" s="73"/>
      <c r="J123" s="72"/>
    </row>
    <row r="124" spans="2:10" x14ac:dyDescent="0.25">
      <c r="B124" s="70"/>
      <c r="C124" s="70"/>
      <c r="D124" s="70"/>
      <c r="E124" s="71"/>
      <c r="F124" s="71"/>
      <c r="G124" s="68"/>
      <c r="H124" s="73"/>
      <c r="I124" s="73"/>
    </row>
    <row r="125" spans="2:10" x14ac:dyDescent="0.25">
      <c r="B125" s="70"/>
      <c r="C125" s="70"/>
      <c r="D125" s="70"/>
      <c r="E125" s="71"/>
      <c r="F125" s="71"/>
      <c r="G125" s="68"/>
      <c r="H125" s="73"/>
      <c r="I125" s="73"/>
    </row>
    <row r="126" spans="2:10" x14ac:dyDescent="0.25">
      <c r="B126" s="70"/>
      <c r="C126" s="70"/>
      <c r="D126" s="70"/>
      <c r="E126" s="71"/>
      <c r="F126" s="71"/>
      <c r="G126" s="68"/>
      <c r="H126" s="73"/>
      <c r="I126" s="73"/>
    </row>
    <row r="127" spans="2:10" x14ac:dyDescent="0.25">
      <c r="B127" s="70"/>
      <c r="C127" s="70"/>
      <c r="D127" s="70"/>
      <c r="E127" s="71"/>
      <c r="F127" s="71"/>
      <c r="G127" s="68"/>
      <c r="H127" s="73"/>
      <c r="I127" s="73"/>
    </row>
    <row r="128" spans="2:10" x14ac:dyDescent="0.25">
      <c r="B128" s="70"/>
      <c r="C128" s="70"/>
      <c r="D128" s="70"/>
      <c r="E128" s="71"/>
      <c r="F128" s="71"/>
      <c r="G128" s="68"/>
      <c r="H128" s="73"/>
      <c r="I128" s="73"/>
    </row>
    <row r="129" spans="2:9" x14ac:dyDescent="0.25">
      <c r="B129" s="70"/>
      <c r="C129" s="70"/>
      <c r="D129" s="70"/>
      <c r="E129" s="71"/>
      <c r="F129" s="71"/>
      <c r="G129" s="68"/>
      <c r="H129" s="73"/>
      <c r="I129" s="73"/>
    </row>
    <row r="130" spans="2:9" x14ac:dyDescent="0.25">
      <c r="B130" s="70"/>
      <c r="C130" s="70"/>
      <c r="D130" s="70"/>
      <c r="E130" s="71"/>
      <c r="F130" s="71"/>
      <c r="G130" s="68"/>
      <c r="H130" s="73"/>
      <c r="I130" s="73"/>
    </row>
    <row r="131" spans="2:9" x14ac:dyDescent="0.25">
      <c r="B131" s="70"/>
      <c r="C131" s="70"/>
      <c r="D131" s="70"/>
      <c r="E131" s="71"/>
      <c r="F131" s="71"/>
      <c r="G131" s="68"/>
      <c r="H131" s="73"/>
      <c r="I131" s="73"/>
    </row>
    <row r="132" spans="2:9" x14ac:dyDescent="0.25">
      <c r="B132" s="70"/>
      <c r="C132" s="70"/>
      <c r="D132" s="70"/>
      <c r="E132" s="71"/>
      <c r="F132" s="71"/>
      <c r="G132" s="68"/>
      <c r="H132" s="73"/>
      <c r="I132" s="73"/>
    </row>
    <row r="133" spans="2:9" x14ac:dyDescent="0.25">
      <c r="B133" s="70"/>
      <c r="C133" s="70"/>
      <c r="D133" s="70"/>
      <c r="E133" s="71"/>
      <c r="F133" s="71"/>
      <c r="G133" s="68"/>
      <c r="H133" s="73"/>
      <c r="I133" s="73"/>
    </row>
  </sheetData>
  <mergeCells count="8">
    <mergeCell ref="P49:Q49"/>
    <mergeCell ref="P12:Q12"/>
    <mergeCell ref="B2:I2"/>
    <mergeCell ref="K2:N2"/>
    <mergeCell ref="P2:S2"/>
    <mergeCell ref="B39:I39"/>
    <mergeCell ref="K39:N39"/>
    <mergeCell ref="P39:S39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EMERSON  PEREZ RAMIREZ</dc:creator>
  <cp:lastModifiedBy>JHON EMERSON  PEREZ RAMIREZ</cp:lastModifiedBy>
  <dcterms:created xsi:type="dcterms:W3CDTF">2026-03-04T17:10:06Z</dcterms:created>
  <dcterms:modified xsi:type="dcterms:W3CDTF">2026-06-06T05:14:42Z</dcterms:modified>
</cp:coreProperties>
</file>