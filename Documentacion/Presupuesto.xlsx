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Cosas realizadas\"/>
    </mc:Choice>
  </mc:AlternateContent>
  <xr:revisionPtr revIDLastSave="0" documentId="13_ncr:1_{03DE6A15-6C39-4824-A4F7-E868EB45F935}" xr6:coauthVersionLast="47" xr6:coauthVersionMax="47" xr10:uidLastSave="{00000000-0000-0000-0000-000000000000}"/>
  <bookViews>
    <workbookView xWindow="-120" yWindow="-120" windowWidth="38640" windowHeight="21120" xr2:uid="{564D20E6-24AA-45FB-B397-964AC7E29BA8}"/>
  </bookViews>
  <sheets>
    <sheet name="Presupues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22" i="1"/>
  <c r="G12" i="1"/>
  <c r="I12" i="1" s="1"/>
  <c r="G4" i="1"/>
  <c r="I8" i="1"/>
  <c r="I9" i="1"/>
  <c r="I10" i="1"/>
  <c r="I11" i="1"/>
  <c r="I7" i="1"/>
  <c r="I6" i="1"/>
  <c r="I5" i="1"/>
  <c r="S4" i="1" l="1"/>
  <c r="S5" i="1"/>
  <c r="S6" i="1"/>
  <c r="S7" i="1"/>
  <c r="I28" i="1"/>
  <c r="N28" i="1"/>
  <c r="I22" i="1"/>
  <c r="I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4" i="1"/>
  <c r="I33" i="1" l="1"/>
  <c r="Q14" i="1" s="1"/>
  <c r="S8" i="1"/>
  <c r="Q16" i="1" s="1"/>
  <c r="N29" i="1"/>
  <c r="Q15" i="1" s="1"/>
  <c r="Q17" i="1" l="1"/>
  <c r="Q18" i="1" s="1"/>
</calcChain>
</file>

<file path=xl/sharedStrings.xml><?xml version="1.0" encoding="utf-8"?>
<sst xmlns="http://schemas.openxmlformats.org/spreadsheetml/2006/main" count="142" uniqueCount="115">
  <si>
    <t>Nombre de la tarea</t>
  </si>
  <si>
    <t>Asignado a</t>
  </si>
  <si>
    <t>Fecha  inicio</t>
  </si>
  <si>
    <t>Fecha fin</t>
  </si>
  <si>
    <t>Concepción e Inicio del Proyecto</t>
  </si>
  <si>
    <t>1.1.1</t>
  </si>
  <si>
    <t>1.1.2</t>
  </si>
  <si>
    <t>1.2.1</t>
  </si>
  <si>
    <t>Definición y Planificación del Proyecto</t>
  </si>
  <si>
    <t>2.1.1</t>
  </si>
  <si>
    <t>2.1.2</t>
  </si>
  <si>
    <t>2.3.1</t>
  </si>
  <si>
    <t>2.3.2</t>
  </si>
  <si>
    <t>Lanzamiento y Ejecución del Proyecto</t>
  </si>
  <si>
    <t>3.1.1</t>
  </si>
  <si>
    <t>3.1.2</t>
  </si>
  <si>
    <t>3.1.3</t>
  </si>
  <si>
    <t>3.2.1</t>
  </si>
  <si>
    <t>3.2.2</t>
  </si>
  <si>
    <t>Desempeño / Monitoreo del Proyecto</t>
  </si>
  <si>
    <t>4.1.1</t>
  </si>
  <si>
    <t>4.1.2</t>
  </si>
  <si>
    <t>Costo por hora</t>
  </si>
  <si>
    <t>Total costo de la tarea</t>
  </si>
  <si>
    <t># Fase</t>
  </si>
  <si>
    <t>Material</t>
  </si>
  <si>
    <t>Costo de unidad</t>
  </si>
  <si>
    <t>Total costo</t>
  </si>
  <si>
    <t>Tabla de costos de materiales</t>
  </si>
  <si>
    <t>PRESUPUESTO PROYECTO SOFTWARE ARDUINO CUBO DE LEDS RGB</t>
  </si>
  <si>
    <t>Microcontrolador 74HCT125 – Adaptador nivel lógico</t>
  </si>
  <si>
    <t>Microcontrolador SN74HCT14N DIP‑14 – Estabilizador señal</t>
  </si>
  <si>
    <t>Raspberry Pi 4 – 4GB RAM</t>
  </si>
  <si>
    <t>Alambre cobre 22 AWG – 70 m</t>
  </si>
  <si>
    <t>Alambre cobre 0.5 mm – 5.5 m</t>
  </si>
  <si>
    <t>Cable silicona 16 AWG – 10 m</t>
  </si>
  <si>
    <t>Cable silicona 26 AWG – 5 m</t>
  </si>
  <si>
    <t>Mini cortador de pernos</t>
  </si>
  <si>
    <t>Alicate de precisión</t>
  </si>
  <si>
    <t>Soldador eléctrico punta fina</t>
  </si>
  <si>
    <t>Estaño para soldadura 50 g</t>
  </si>
  <si>
    <t>Taladro eléctrico</t>
  </si>
  <si>
    <t>Mini micrófono USB</t>
  </si>
  <si>
    <t>Molde conexión LEDs</t>
  </si>
  <si>
    <t>Molde conexión filas LEDs</t>
  </si>
  <si>
    <t>Fuente alimentación 5V 40A</t>
  </si>
  <si>
    <t>Cable dúplex con clavija</t>
  </si>
  <si>
    <t>Portafusibles (8 unidades)</t>
  </si>
  <si>
    <t>Fusibles 4A (8 unidades)</t>
  </si>
  <si>
    <t>Módulo reductor XL4015 DC‑DC</t>
  </si>
  <si>
    <t>Condensadores cerámicos 100nF (100 unidades)</t>
  </si>
  <si>
    <t>Arduino Mega 2560</t>
  </si>
  <si>
    <t>Cantidad</t>
  </si>
  <si>
    <t>Total</t>
  </si>
  <si>
    <t>Horas</t>
  </si>
  <si>
    <t>Tabla de costos del area administrativa</t>
  </si>
  <si>
    <t>Concepto</t>
  </si>
  <si>
    <t>Arriendo local</t>
  </si>
  <si>
    <t>Meses</t>
  </si>
  <si>
    <t>Costo</t>
  </si>
  <si>
    <t>Total del costo</t>
  </si>
  <si>
    <t>Tabla de costos total</t>
  </si>
  <si>
    <t xml:space="preserve">Presupuesto del proyecto 
de software </t>
  </si>
  <si>
    <t>Presupuesto de los materiales del cubo</t>
  </si>
  <si>
    <t>Internet</t>
  </si>
  <si>
    <t>Luz</t>
  </si>
  <si>
    <t>Agua (recibo por 2 meses(</t>
  </si>
  <si>
    <t>Gasto</t>
  </si>
  <si>
    <t>Presupuesto del 
gasto administrativo</t>
  </si>
  <si>
    <t>Contingencia (del 10%)</t>
  </si>
  <si>
    <t>LED RGB direccionable PL9823‑F5 (bolsa 40 unidades)</t>
  </si>
  <si>
    <t>LED RGB direccionable PL9823‑F5 (bolsa de 500 unidades)</t>
  </si>
  <si>
    <t>Identificar funcionalidades del software</t>
  </si>
  <si>
    <t>Definir limitaciones tecnicas</t>
  </si>
  <si>
    <t>Analizar memoria y pines del Arduino</t>
  </si>
  <si>
    <t>Disenar flujo general del programa</t>
  </si>
  <si>
    <t>Disenar estructura de matriz 8x8x8</t>
  </si>
  <si>
    <t>Disenar funciones basicas de control</t>
  </si>
  <si>
    <t>Disenar funciones de figuras 2D y 3D</t>
  </si>
  <si>
    <t>Configurar entorno y librerias</t>
  </si>
  <si>
    <t>Programar control individual de LEDs</t>
  </si>
  <si>
    <t>Implementar manejo matricial 3D</t>
  </si>
  <si>
    <t>Programar animaciones basicas</t>
  </si>
  <si>
    <t>Optimizar temporizacion y rendimiento</t>
  </si>
  <si>
    <t>Documentar codigo y entregar version final</t>
  </si>
  <si>
    <t>Identificar interesados del proyecto</t>
  </si>
  <si>
    <t>Definir objetivo del proyecto</t>
  </si>
  <si>
    <t>1.1.3</t>
  </si>
  <si>
    <t>Levantar requerimientos del sistema</t>
  </si>
  <si>
    <t>1.1.4</t>
  </si>
  <si>
    <t>Establecer alcance del proyecto</t>
  </si>
  <si>
    <t>Ingeniero industrial junior</t>
  </si>
  <si>
    <t>1.1.5</t>
  </si>
  <si>
    <t>Ingeniero software junior</t>
  </si>
  <si>
    <t>1.1.6</t>
  </si>
  <si>
    <t>Ingeniero electronico junior</t>
  </si>
  <si>
    <t>Desarrollador de software, ingeniero electronico e ingeniero industrial</t>
  </si>
  <si>
    <t>Elaborar EDT del proyecto</t>
  </si>
  <si>
    <t>Construir cronograma del proyecto</t>
  </si>
  <si>
    <t>2.1.3</t>
  </si>
  <si>
    <t>Asignar responsables por tarea</t>
  </si>
  <si>
    <t>2.1.4</t>
  </si>
  <si>
    <t>Estimar recursos necesarios</t>
  </si>
  <si>
    <t>2.1.5</t>
  </si>
  <si>
    <t>Estimar costos y presupuesto</t>
  </si>
  <si>
    <t>2.2.1</t>
  </si>
  <si>
    <t>2.2.2</t>
  </si>
  <si>
    <t>Desarrollador de software</t>
  </si>
  <si>
    <t>Seguimiento al avance del proyecto</t>
  </si>
  <si>
    <t>Realizar pruebas individuales e integracion</t>
  </si>
  <si>
    <t>4.1.3</t>
  </si>
  <si>
    <t>4.1.4</t>
  </si>
  <si>
    <t>Elaborar informe final del proyecto</t>
  </si>
  <si>
    <t>Ingeniero software junior
Ingeniero electronico junior</t>
  </si>
  <si>
    <t>Portatil desarrollo economico Intel Core i3 
8GB RAM, SSD 256GB, pantalla 15 pulgadas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</si>
</sst>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164" formatCode="mm/dd"/>
    <numFmt numFmtId="165" formatCode="&quot;$&quot;\ #,##0"/>
    <numFmt numFmtId="166" formatCode="&quot;$&quot;\ #,##0.00"/>
  </numFmts>
  <fonts count="10" x14ac:knownFonts="1">
    <font>
      <sz val="11"/>
      <color theme="1"/>
      <name val="Aptos Narrow"/>
      <family val="2"/>
      <scheme val="minor"/>
    </font>
    <font>
      <b/>
      <sz val="28"/>
      <color rgb="FF001033"/>
      <name val="Century Gothic"/>
      <family val="1"/>
    </font>
    <font>
      <sz val="10"/>
      <color theme="1"/>
      <name val="Century Gothic"/>
      <family val="1"/>
    </font>
    <font>
      <b/>
      <sz val="11"/>
      <color rgb="FF001033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0"/>
      <color theme="0"/>
      <name val="Century Gothic"/>
      <family val="1"/>
    </font>
    <font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0" fillId="0" borderId="1" xfId="0" applyBorder="1"/>
    <xf numFmtId="0" fontId="0" fillId="0" borderId="3" xfId="0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5" fontId="0" fillId="0" borderId="1" xfId="0" applyNumberFormat="1" applyBorder="1"/>
    <xf numFmtId="165" fontId="0" fillId="0" borderId="8" xfId="0" applyNumberFormat="1" applyBorder="1"/>
    <xf numFmtId="165" fontId="0" fillId="0" borderId="9" xfId="0" applyNumberFormat="1" applyBorder="1"/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" fontId="6" fillId="5" borderId="1" xfId="0" applyNumberFormat="1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166" fontId="6" fillId="6" borderId="1" xfId="0" applyNumberFormat="1" applyFont="1" applyFill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 wrapText="1"/>
    </xf>
    <xf numFmtId="165" fontId="6" fillId="7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 readingOrder="1"/>
    </xf>
    <xf numFmtId="166" fontId="6" fillId="8" borderId="1" xfId="0" applyNumberFormat="1" applyFont="1" applyFill="1" applyBorder="1" applyAlignment="1">
      <alignment horizontal="center" vertical="center" wrapText="1" readingOrder="1"/>
    </xf>
    <xf numFmtId="166" fontId="0" fillId="0" borderId="0" xfId="0" applyNumberFormat="1"/>
    <xf numFmtId="165" fontId="0" fillId="0" borderId="0" xfId="0" applyNumberFormat="1"/>
    <xf numFmtId="165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 readingOrder="1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 readingOrder="1"/>
    </xf>
    <xf numFmtId="164" fontId="2" fillId="0" borderId="1" xfId="0" applyNumberFormat="1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center" vertical="center" wrapText="1" readingOrder="1"/>
    </xf>
    <xf numFmtId="0" fontId="6" fillId="8" borderId="1" xfId="0" applyFont="1" applyFill="1" applyBorder="1" applyAlignment="1">
      <alignment horizontal="center" vertical="center" wrapText="1"/>
    </xf>
    <xf numFmtId="164" fontId="6" fillId="8" borderId="1" xfId="0" applyNumberFormat="1" applyFont="1" applyFill="1" applyBorder="1" applyAlignment="1">
      <alignment horizontal="center" vertical="center" wrapText="1" readingOrder="1"/>
    </xf>
    <xf numFmtId="164" fontId="6" fillId="8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/>
    <xf numFmtId="0" fontId="0" fillId="0" borderId="1" xfId="0" applyBorder="1" applyAlignment="1">
      <alignment horizontal="center"/>
    </xf>
    <xf numFmtId="0" fontId="0" fillId="0" borderId="0" xfId="0"/>
    <xf numFmtId="0" fontId="0" fillId="0" borderId="1" xfId="0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6" fontId="0" fillId="0" borderId="0" xfId="0" applyNumberFormat="1" applyAlignment="1">
      <alignment vertical="center" wrapText="1"/>
    </xf>
    <xf numFmtId="0" fontId="6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16">
    <dxf>
      <numFmt numFmtId="166" formatCode="&quot;$&quot;\ #,##0.00"/>
    </dxf>
    <dxf>
      <alignment horizontal="center" vertical="center" textRotation="0" wrapText="1" indent="0" justifyLastLine="0" shrinkToFit="0" readingOrder="0"/>
    </dxf>
    <dxf>
      <numFmt numFmtId="165" formatCode="&quot;$&quot;\ 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ED50CA-AFCF-448B-A9C8-8AF5F179427D}" name="Tabla1" displayName="Tabla1" ref="K3:N29" totalsRowShown="0" headerRowDxfId="15" dataDxfId="13" headerRowBorderDxfId="14" tableBorderDxfId="12" totalsRowBorderDxfId="11">
  <autoFilter ref="K3:N29" xr:uid="{4BED50CA-AFCF-448B-A9C8-8AF5F179427D}"/>
  <tableColumns count="4">
    <tableColumn id="1" xr3:uid="{D5482CC9-C1C0-47A9-90FC-FB21B5F402C7}" name="Material" dataDxfId="10"/>
    <tableColumn id="2" xr3:uid="{26EFE165-380D-49CB-927D-ACD394835896}" name="Cantidad" dataDxfId="9"/>
    <tableColumn id="3" xr3:uid="{820AECB3-5D78-48F8-8CE8-4B3E2BBC7F71}" name="Costo de unidad" dataDxfId="8"/>
    <tableColumn id="4" xr3:uid="{852C8C41-7E7A-426D-BFF6-10D432A143DD}" name="Total costo" dataDxfId="7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18CF97-5066-4A67-8831-8BDBF36545DA}" name="Tabla2" displayName="Tabla2" ref="P3:S8" totalsRowShown="0" headerRowDxfId="6">
  <autoFilter ref="P3:S8" xr:uid="{8818CF97-5066-4A67-8831-8BDBF36545DA}"/>
  <tableColumns count="4">
    <tableColumn id="1" xr3:uid="{F1DA0F0F-5367-4E62-8F26-63906B998434}" name="Concepto" dataDxfId="5"/>
    <tableColumn id="2" xr3:uid="{E8EF4138-396E-4BD9-AFAF-68C09328CD11}" name="Meses" dataDxfId="4"/>
    <tableColumn id="3" xr3:uid="{3995E363-F5A4-4E4C-A5D2-AA449EF3D901}" name="Gasto" dataDxfId="3"/>
    <tableColumn id="4" xr3:uid="{CC989398-AC8E-4F82-AB40-DFD69B3ACC26}" name="Total del costo" dataDxfId="2">
      <calculatedColumnFormula>Q4*R4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374E0D-9DCA-4F48-9263-80E8DA98E7B5}" name="Tabla3" displayName="Tabla3" ref="P13:Q18" totalsRowShown="0">
  <autoFilter ref="P13:Q18" xr:uid="{16374E0D-9DCA-4F48-9263-80E8DA98E7B5}"/>
  <tableColumns count="2">
    <tableColumn id="1" xr3:uid="{0AB2852D-27BE-4BFD-81DB-AF7FB6BE221C}" name="Concepto" dataDxfId="1"/>
    <tableColumn id="2" xr3:uid="{E0D5287E-3FD9-42DE-9545-00A412302240}" name="Costo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AE209-0AE6-487E-8325-7BFDA245AC76}">
  <dimension ref="A1:S46"/>
  <sheetViews>
    <sheetView tabSelected="1" zoomScale="80" zoomScaleNormal="80" workbookViewId="0">
      <selection activeCell="M32" sqref="M32"/>
    </sheetView>
  </sheetViews>
  <sheetFormatPr baseColWidth="10" defaultRowHeight="15" x14ac:dyDescent="0.25"/>
  <cols>
    <col min="1" max="1" width="3.85546875" customWidth="1"/>
    <col min="2" max="2" width="9" customWidth="1"/>
    <col min="3" max="3" width="65.140625" bestFit="1" customWidth="1"/>
    <col min="4" max="4" width="37" bestFit="1" customWidth="1"/>
    <col min="5" max="6" width="23.85546875" customWidth="1"/>
    <col min="7" max="7" width="17.42578125" customWidth="1"/>
    <col min="8" max="8" width="18.140625" customWidth="1"/>
    <col min="9" max="9" width="17.28515625" customWidth="1"/>
    <col min="10" max="10" width="14.7109375" customWidth="1"/>
    <col min="11" max="11" width="54" bestFit="1" customWidth="1"/>
    <col min="12" max="12" width="15.28515625" bestFit="1" customWidth="1"/>
    <col min="13" max="13" width="18.42578125" customWidth="1"/>
    <col min="14" max="14" width="13.140625" bestFit="1" customWidth="1"/>
    <col min="16" max="16" width="22.7109375" bestFit="1" customWidth="1"/>
    <col min="17" max="17" width="17.85546875" customWidth="1"/>
    <col min="18" max="18" width="12" customWidth="1"/>
    <col min="19" max="19" width="16" customWidth="1"/>
  </cols>
  <sheetData>
    <row r="1" spans="1:19" ht="34.5" x14ac:dyDescent="0.25">
      <c r="A1" s="4" t="s">
        <v>29</v>
      </c>
      <c r="B1" s="4"/>
      <c r="C1" s="4"/>
      <c r="D1" s="4"/>
      <c r="E1" s="4"/>
      <c r="F1" s="4"/>
      <c r="G1" s="4"/>
      <c r="H1" s="4"/>
      <c r="I1" s="4"/>
    </row>
    <row r="2" spans="1:19" x14ac:dyDescent="0.25">
      <c r="B2" s="53"/>
      <c r="C2" s="53"/>
      <c r="D2" s="53"/>
      <c r="E2" s="53"/>
      <c r="F2" s="53"/>
      <c r="G2" s="53"/>
      <c r="H2" s="53"/>
      <c r="I2" s="53"/>
      <c r="K2" s="54" t="s">
        <v>28</v>
      </c>
      <c r="L2" s="54"/>
      <c r="M2" s="54"/>
      <c r="N2" s="54"/>
      <c r="P2" s="54" t="s">
        <v>55</v>
      </c>
      <c r="Q2" s="54"/>
      <c r="R2" s="54"/>
      <c r="S2" s="54"/>
    </row>
    <row r="3" spans="1:19" ht="28.5" x14ac:dyDescent="0.25">
      <c r="B3" s="14" t="s">
        <v>24</v>
      </c>
      <c r="C3" s="14" t="s">
        <v>0</v>
      </c>
      <c r="D3" s="14" t="s">
        <v>1</v>
      </c>
      <c r="E3" s="15" t="s">
        <v>2</v>
      </c>
      <c r="F3" s="15" t="s">
        <v>3</v>
      </c>
      <c r="G3" s="16" t="s">
        <v>54</v>
      </c>
      <c r="H3" s="16" t="s">
        <v>22</v>
      </c>
      <c r="I3" s="14" t="s">
        <v>23</v>
      </c>
      <c r="K3" s="6" t="s">
        <v>25</v>
      </c>
      <c r="L3" s="7" t="s">
        <v>52</v>
      </c>
      <c r="M3" s="7" t="s">
        <v>26</v>
      </c>
      <c r="N3" s="8" t="s">
        <v>27</v>
      </c>
      <c r="P3" s="2" t="s">
        <v>56</v>
      </c>
      <c r="Q3" s="2" t="s">
        <v>58</v>
      </c>
      <c r="R3" s="2" t="s">
        <v>67</v>
      </c>
      <c r="S3" s="2" t="s">
        <v>60</v>
      </c>
    </row>
    <row r="4" spans="1:19" ht="60.75" customHeight="1" x14ac:dyDescent="0.25">
      <c r="A4" s="1"/>
      <c r="B4" s="65">
        <v>1</v>
      </c>
      <c r="C4" s="60" t="s">
        <v>4</v>
      </c>
      <c r="D4" s="66" t="s">
        <v>96</v>
      </c>
      <c r="E4" s="55">
        <v>46067</v>
      </c>
      <c r="F4" s="55">
        <v>46088</v>
      </c>
      <c r="G4" s="17">
        <f>SUM(G5:G11)</f>
        <v>92</v>
      </c>
      <c r="H4" s="18">
        <v>30000</v>
      </c>
      <c r="I4" s="18">
        <f>G4*H4</f>
        <v>2760000</v>
      </c>
      <c r="K4" s="3" t="s">
        <v>71</v>
      </c>
      <c r="L4" s="5">
        <v>1</v>
      </c>
      <c r="M4" s="28">
        <v>238823</v>
      </c>
      <c r="N4" s="29">
        <f>L4*M4</f>
        <v>238823</v>
      </c>
      <c r="P4" s="2" t="s">
        <v>57</v>
      </c>
      <c r="Q4" s="2">
        <v>4</v>
      </c>
      <c r="R4" s="11">
        <v>1500000</v>
      </c>
      <c r="S4" s="11">
        <f>Q4*R4</f>
        <v>6000000</v>
      </c>
    </row>
    <row r="5" spans="1:19" x14ac:dyDescent="0.25">
      <c r="B5" s="34" t="s">
        <v>5</v>
      </c>
      <c r="C5" s="61" t="s">
        <v>85</v>
      </c>
      <c r="D5" s="39" t="s">
        <v>91</v>
      </c>
      <c r="E5" s="37">
        <v>46067</v>
      </c>
      <c r="F5" s="37">
        <v>46068</v>
      </c>
      <c r="G5" s="5">
        <v>8</v>
      </c>
      <c r="H5" s="38">
        <v>10000</v>
      </c>
      <c r="I5" s="38">
        <f t="shared" ref="I5:I11" si="0">G5*H5</f>
        <v>80000</v>
      </c>
      <c r="K5" s="3" t="s">
        <v>70</v>
      </c>
      <c r="L5" s="5">
        <v>1</v>
      </c>
      <c r="M5" s="28">
        <v>33987</v>
      </c>
      <c r="N5" s="29">
        <f t="shared" ref="N5:N28" si="1">L5*M5</f>
        <v>33987</v>
      </c>
      <c r="P5" s="9" t="s">
        <v>64</v>
      </c>
      <c r="Q5" s="10">
        <v>4</v>
      </c>
      <c r="R5" s="12">
        <v>86000</v>
      </c>
      <c r="S5" s="13">
        <f>Q5*R5</f>
        <v>344000</v>
      </c>
    </row>
    <row r="6" spans="1:19" x14ac:dyDescent="0.25">
      <c r="B6" s="34" t="s">
        <v>6</v>
      </c>
      <c r="C6" s="61" t="s">
        <v>86</v>
      </c>
      <c r="D6" s="36" t="s">
        <v>91</v>
      </c>
      <c r="E6" s="37">
        <v>46069</v>
      </c>
      <c r="F6" s="37">
        <v>46070</v>
      </c>
      <c r="G6" s="5">
        <v>8</v>
      </c>
      <c r="H6" s="38">
        <v>10000</v>
      </c>
      <c r="I6" s="38">
        <f t="shared" si="0"/>
        <v>80000</v>
      </c>
      <c r="K6" s="3" t="s">
        <v>30</v>
      </c>
      <c r="L6" s="5">
        <v>2</v>
      </c>
      <c r="M6" s="28">
        <v>3659</v>
      </c>
      <c r="N6" s="29">
        <f t="shared" si="1"/>
        <v>7318</v>
      </c>
      <c r="P6" s="9" t="s">
        <v>65</v>
      </c>
      <c r="Q6" s="10">
        <v>4</v>
      </c>
      <c r="R6" s="12">
        <v>120000</v>
      </c>
      <c r="S6" s="13">
        <f>Q6*R6</f>
        <v>480000</v>
      </c>
    </row>
    <row r="7" spans="1:19" x14ac:dyDescent="0.25">
      <c r="B7" s="34" t="s">
        <v>87</v>
      </c>
      <c r="C7" s="61" t="s">
        <v>88</v>
      </c>
      <c r="D7" s="39" t="s">
        <v>91</v>
      </c>
      <c r="E7" s="37">
        <v>46071</v>
      </c>
      <c r="F7" s="37">
        <v>46073</v>
      </c>
      <c r="G7" s="5">
        <v>12</v>
      </c>
      <c r="H7" s="38">
        <v>10000</v>
      </c>
      <c r="I7" s="38">
        <f t="shared" si="0"/>
        <v>120000</v>
      </c>
      <c r="K7" s="3" t="s">
        <v>31</v>
      </c>
      <c r="L7" s="5">
        <v>2</v>
      </c>
      <c r="M7" s="28">
        <v>7786</v>
      </c>
      <c r="N7" s="29">
        <f t="shared" si="1"/>
        <v>15572</v>
      </c>
      <c r="P7" s="9" t="s">
        <v>66</v>
      </c>
      <c r="Q7" s="10">
        <v>2</v>
      </c>
      <c r="R7" s="12">
        <v>200000</v>
      </c>
      <c r="S7" s="13">
        <f>Q7*R7</f>
        <v>400000</v>
      </c>
    </row>
    <row r="8" spans="1:19" x14ac:dyDescent="0.25">
      <c r="B8" s="34" t="s">
        <v>89</v>
      </c>
      <c r="C8" s="61" t="s">
        <v>90</v>
      </c>
      <c r="D8" s="39" t="s">
        <v>91</v>
      </c>
      <c r="E8" s="37">
        <v>46074</v>
      </c>
      <c r="F8" s="37">
        <v>46074</v>
      </c>
      <c r="G8" s="5">
        <v>4</v>
      </c>
      <c r="H8" s="38">
        <v>10000</v>
      </c>
      <c r="I8" s="38">
        <f t="shared" si="0"/>
        <v>40000</v>
      </c>
      <c r="K8" s="3" t="s">
        <v>32</v>
      </c>
      <c r="L8" s="5">
        <v>1</v>
      </c>
      <c r="M8" s="28">
        <v>300000</v>
      </c>
      <c r="N8" s="29">
        <f t="shared" si="1"/>
        <v>300000</v>
      </c>
      <c r="P8" s="9" t="s">
        <v>53</v>
      </c>
      <c r="Q8" s="10"/>
      <c r="R8" s="12"/>
      <c r="S8" s="13">
        <f>S4+S5+S6+S7</f>
        <v>7224000</v>
      </c>
    </row>
    <row r="9" spans="1:19" x14ac:dyDescent="0.25">
      <c r="B9" s="34" t="s">
        <v>92</v>
      </c>
      <c r="C9" s="61" t="s">
        <v>72</v>
      </c>
      <c r="D9" s="36" t="s">
        <v>93</v>
      </c>
      <c r="E9" s="37">
        <v>46074</v>
      </c>
      <c r="F9" s="37">
        <v>46078</v>
      </c>
      <c r="G9" s="5">
        <v>20</v>
      </c>
      <c r="H9" s="38">
        <v>10000</v>
      </c>
      <c r="I9" s="38">
        <f t="shared" si="0"/>
        <v>200000</v>
      </c>
      <c r="K9" s="3" t="s">
        <v>33</v>
      </c>
      <c r="L9" s="5">
        <v>1</v>
      </c>
      <c r="M9" s="28">
        <v>60000</v>
      </c>
      <c r="N9" s="29">
        <f t="shared" si="1"/>
        <v>60000</v>
      </c>
    </row>
    <row r="10" spans="1:19" x14ac:dyDescent="0.25">
      <c r="B10" s="34" t="s">
        <v>94</v>
      </c>
      <c r="C10" s="61" t="s">
        <v>73</v>
      </c>
      <c r="D10" s="39" t="s">
        <v>95</v>
      </c>
      <c r="E10" s="37">
        <v>46079</v>
      </c>
      <c r="F10" s="37">
        <v>46081</v>
      </c>
      <c r="G10" s="5">
        <v>12</v>
      </c>
      <c r="H10" s="38">
        <v>10000</v>
      </c>
      <c r="I10" s="38">
        <f t="shared" si="0"/>
        <v>120000</v>
      </c>
      <c r="K10" s="3" t="s">
        <v>34</v>
      </c>
      <c r="L10" s="5">
        <v>1</v>
      </c>
      <c r="M10" s="28">
        <v>15409</v>
      </c>
      <c r="N10" s="29">
        <f t="shared" si="1"/>
        <v>15409</v>
      </c>
    </row>
    <row r="11" spans="1:19" x14ac:dyDescent="0.25">
      <c r="B11" s="34" t="s">
        <v>7</v>
      </c>
      <c r="C11" s="61" t="s">
        <v>74</v>
      </c>
      <c r="D11" s="39" t="s">
        <v>95</v>
      </c>
      <c r="E11" s="37">
        <v>46082</v>
      </c>
      <c r="F11" s="37">
        <v>46088</v>
      </c>
      <c r="G11" s="5">
        <v>28</v>
      </c>
      <c r="H11" s="38">
        <v>10000</v>
      </c>
      <c r="I11" s="38">
        <f t="shared" si="0"/>
        <v>280000</v>
      </c>
      <c r="K11" s="3" t="s">
        <v>35</v>
      </c>
      <c r="L11" s="5">
        <v>1</v>
      </c>
      <c r="M11" s="28">
        <v>30061</v>
      </c>
      <c r="N11" s="29">
        <f t="shared" si="1"/>
        <v>30061</v>
      </c>
    </row>
    <row r="12" spans="1:19" ht="27" x14ac:dyDescent="0.25">
      <c r="B12" s="40">
        <v>2</v>
      </c>
      <c r="C12" s="62" t="s">
        <v>8</v>
      </c>
      <c r="D12" s="41" t="s">
        <v>96</v>
      </c>
      <c r="E12" s="42">
        <v>46089</v>
      </c>
      <c r="F12" s="41">
        <v>46122</v>
      </c>
      <c r="G12" s="19">
        <f>SUM(G13:G21)</f>
        <v>136</v>
      </c>
      <c r="H12" s="20">
        <v>30000</v>
      </c>
      <c r="I12" s="21">
        <f>G12*H12</f>
        <v>4080000</v>
      </c>
      <c r="K12" s="3" t="s">
        <v>36</v>
      </c>
      <c r="L12" s="5">
        <v>1</v>
      </c>
      <c r="M12" s="28">
        <v>4094</v>
      </c>
      <c r="N12" s="29">
        <f t="shared" si="1"/>
        <v>4094</v>
      </c>
      <c r="P12" s="52" t="s">
        <v>61</v>
      </c>
      <c r="Q12" s="52"/>
    </row>
    <row r="13" spans="1:19" x14ac:dyDescent="0.25">
      <c r="B13" s="34" t="s">
        <v>9</v>
      </c>
      <c r="C13" s="61" t="s">
        <v>97</v>
      </c>
      <c r="D13" s="39" t="s">
        <v>91</v>
      </c>
      <c r="E13" s="37">
        <v>46089</v>
      </c>
      <c r="F13" s="37">
        <v>46090</v>
      </c>
      <c r="G13" s="5">
        <v>8</v>
      </c>
      <c r="H13" s="38">
        <v>10000</v>
      </c>
      <c r="I13" s="38">
        <v>80000</v>
      </c>
      <c r="K13" s="3" t="s">
        <v>37</v>
      </c>
      <c r="L13" s="5">
        <v>1</v>
      </c>
      <c r="M13" s="28">
        <v>45937</v>
      </c>
      <c r="N13" s="29">
        <f t="shared" si="1"/>
        <v>45937</v>
      </c>
      <c r="P13" t="s">
        <v>56</v>
      </c>
      <c r="Q13" t="s">
        <v>59</v>
      </c>
    </row>
    <row r="14" spans="1:19" ht="45" x14ac:dyDescent="0.25">
      <c r="B14" s="34" t="s">
        <v>10</v>
      </c>
      <c r="C14" s="61" t="s">
        <v>98</v>
      </c>
      <c r="D14" s="39" t="s">
        <v>91</v>
      </c>
      <c r="E14" s="37">
        <v>46091</v>
      </c>
      <c r="F14" s="37">
        <v>46092</v>
      </c>
      <c r="G14" s="5">
        <v>8</v>
      </c>
      <c r="H14" s="38">
        <v>10000</v>
      </c>
      <c r="I14" s="38">
        <v>80000</v>
      </c>
      <c r="K14" s="3" t="s">
        <v>38</v>
      </c>
      <c r="L14" s="5">
        <v>1</v>
      </c>
      <c r="M14" s="28">
        <v>10000</v>
      </c>
      <c r="N14" s="29">
        <f t="shared" si="1"/>
        <v>10000</v>
      </c>
      <c r="P14" s="50" t="s">
        <v>62</v>
      </c>
      <c r="Q14" s="26">
        <f>I33</f>
        <v>9520000</v>
      </c>
    </row>
    <row r="15" spans="1:19" ht="30" x14ac:dyDescent="0.25">
      <c r="B15" s="34" t="s">
        <v>99</v>
      </c>
      <c r="C15" s="61" t="s">
        <v>100</v>
      </c>
      <c r="D15" s="39" t="s">
        <v>91</v>
      </c>
      <c r="E15" s="37">
        <v>46093</v>
      </c>
      <c r="F15" s="37">
        <v>46093</v>
      </c>
      <c r="G15" s="5">
        <v>4</v>
      </c>
      <c r="H15" s="38">
        <v>10000</v>
      </c>
      <c r="I15" s="38">
        <v>40000</v>
      </c>
      <c r="K15" s="3" t="s">
        <v>39</v>
      </c>
      <c r="L15" s="5">
        <v>1</v>
      </c>
      <c r="M15" s="28">
        <v>26646</v>
      </c>
      <c r="N15" s="29">
        <f t="shared" si="1"/>
        <v>26646</v>
      </c>
      <c r="P15" s="50" t="s">
        <v>63</v>
      </c>
      <c r="Q15" s="27">
        <f>N29</f>
        <v>2241920</v>
      </c>
    </row>
    <row r="16" spans="1:19" ht="30" x14ac:dyDescent="0.25">
      <c r="B16" s="34" t="s">
        <v>101</v>
      </c>
      <c r="C16" s="61" t="s">
        <v>102</v>
      </c>
      <c r="D16" s="39" t="s">
        <v>91</v>
      </c>
      <c r="E16" s="37">
        <v>46094</v>
      </c>
      <c r="F16" s="43">
        <v>46095</v>
      </c>
      <c r="G16" s="5">
        <v>8</v>
      </c>
      <c r="H16" s="38">
        <v>10000</v>
      </c>
      <c r="I16" s="38">
        <v>80000</v>
      </c>
      <c r="K16" s="3" t="s">
        <v>40</v>
      </c>
      <c r="L16" s="5">
        <v>1</v>
      </c>
      <c r="M16" s="28">
        <v>14334</v>
      </c>
      <c r="N16" s="29">
        <f t="shared" si="1"/>
        <v>14334</v>
      </c>
      <c r="P16" s="50" t="s">
        <v>68</v>
      </c>
      <c r="Q16" s="27">
        <f>S8</f>
        <v>7224000</v>
      </c>
    </row>
    <row r="17" spans="2:17" x14ac:dyDescent="0.25">
      <c r="B17" s="34" t="s">
        <v>103</v>
      </c>
      <c r="C17" s="61" t="s">
        <v>104</v>
      </c>
      <c r="D17" s="39" t="s">
        <v>91</v>
      </c>
      <c r="E17" s="37">
        <v>46096</v>
      </c>
      <c r="F17" s="43">
        <v>46098</v>
      </c>
      <c r="G17" s="5">
        <v>12</v>
      </c>
      <c r="H17" s="38">
        <v>10000</v>
      </c>
      <c r="I17" s="38">
        <v>120000</v>
      </c>
      <c r="K17" s="3" t="s">
        <v>41</v>
      </c>
      <c r="L17" s="5">
        <v>1</v>
      </c>
      <c r="M17" s="28">
        <v>160000</v>
      </c>
      <c r="N17" s="29">
        <f t="shared" si="1"/>
        <v>160000</v>
      </c>
      <c r="P17" s="50" t="s">
        <v>69</v>
      </c>
      <c r="Q17" s="26">
        <f>(Q14+Q15+Q16)*0.1</f>
        <v>1898592</v>
      </c>
    </row>
    <row r="18" spans="2:17" x14ac:dyDescent="0.25">
      <c r="B18" s="34" t="s">
        <v>105</v>
      </c>
      <c r="C18" s="61" t="s">
        <v>75</v>
      </c>
      <c r="D18" s="39" t="s">
        <v>93</v>
      </c>
      <c r="E18" s="37">
        <v>46099</v>
      </c>
      <c r="F18" s="37">
        <v>46106</v>
      </c>
      <c r="G18" s="5">
        <v>32</v>
      </c>
      <c r="H18" s="38">
        <v>10000</v>
      </c>
      <c r="I18" s="38">
        <v>320000</v>
      </c>
      <c r="K18" s="3" t="s">
        <v>42</v>
      </c>
      <c r="L18" s="5">
        <v>1</v>
      </c>
      <c r="M18" s="28">
        <v>5858</v>
      </c>
      <c r="N18" s="29">
        <f t="shared" si="1"/>
        <v>5858</v>
      </c>
      <c r="P18" s="50" t="s">
        <v>53</v>
      </c>
      <c r="Q18" s="26">
        <f>Q14+Q15+Q16+Q17</f>
        <v>20884512</v>
      </c>
    </row>
    <row r="19" spans="2:17" x14ac:dyDescent="0.25">
      <c r="B19" s="34" t="s">
        <v>106</v>
      </c>
      <c r="C19" s="61" t="s">
        <v>76</v>
      </c>
      <c r="D19" s="39" t="s">
        <v>95</v>
      </c>
      <c r="E19" s="37">
        <v>46107</v>
      </c>
      <c r="F19" s="37">
        <v>46113</v>
      </c>
      <c r="G19" s="5">
        <v>28</v>
      </c>
      <c r="H19" s="38">
        <v>10000</v>
      </c>
      <c r="I19" s="38">
        <v>280000</v>
      </c>
      <c r="K19" s="3" t="s">
        <v>43</v>
      </c>
      <c r="L19" s="5">
        <v>1</v>
      </c>
      <c r="M19" s="28">
        <v>20000</v>
      </c>
      <c r="N19" s="29">
        <f t="shared" si="1"/>
        <v>20000</v>
      </c>
    </row>
    <row r="20" spans="2:17" x14ac:dyDescent="0.25">
      <c r="B20" s="34" t="s">
        <v>11</v>
      </c>
      <c r="C20" s="61" t="s">
        <v>77</v>
      </c>
      <c r="D20" s="39" t="s">
        <v>93</v>
      </c>
      <c r="E20" s="37">
        <v>46114</v>
      </c>
      <c r="F20" s="43">
        <v>46118</v>
      </c>
      <c r="G20" s="5">
        <v>20</v>
      </c>
      <c r="H20" s="38">
        <v>10000</v>
      </c>
      <c r="I20" s="38">
        <v>200000</v>
      </c>
      <c r="K20" s="3" t="s">
        <v>44</v>
      </c>
      <c r="L20" s="5">
        <v>1</v>
      </c>
      <c r="M20" s="28">
        <v>15000</v>
      </c>
      <c r="N20" s="29">
        <f t="shared" si="1"/>
        <v>15000</v>
      </c>
      <c r="P20" s="26"/>
    </row>
    <row r="21" spans="2:17" x14ac:dyDescent="0.25">
      <c r="B21" s="34" t="s">
        <v>12</v>
      </c>
      <c r="C21" s="61" t="s">
        <v>78</v>
      </c>
      <c r="D21" s="39" t="s">
        <v>93</v>
      </c>
      <c r="E21" s="37">
        <v>46119</v>
      </c>
      <c r="F21" s="43">
        <v>46122</v>
      </c>
      <c r="G21" s="5">
        <v>16</v>
      </c>
      <c r="H21" s="38">
        <v>10000</v>
      </c>
      <c r="I21" s="38">
        <v>160000</v>
      </c>
      <c r="K21" s="3" t="s">
        <v>45</v>
      </c>
      <c r="L21" s="5">
        <v>1</v>
      </c>
      <c r="M21" s="28">
        <v>59500</v>
      </c>
      <c r="N21" s="29">
        <f t="shared" si="1"/>
        <v>59500</v>
      </c>
      <c r="P21" s="26"/>
    </row>
    <row r="22" spans="2:17" x14ac:dyDescent="0.25">
      <c r="B22" s="44">
        <v>3</v>
      </c>
      <c r="C22" s="63" t="s">
        <v>13</v>
      </c>
      <c r="D22" s="45" t="s">
        <v>107</v>
      </c>
      <c r="E22" s="46">
        <v>46123</v>
      </c>
      <c r="F22" s="45">
        <v>46168</v>
      </c>
      <c r="G22" s="22">
        <f>SUM(G23:G27)</f>
        <v>184</v>
      </c>
      <c r="H22" s="23">
        <v>10000</v>
      </c>
      <c r="I22" s="23">
        <f>G22*H22</f>
        <v>1840000</v>
      </c>
      <c r="K22" s="3" t="s">
        <v>46</v>
      </c>
      <c r="L22" s="5">
        <v>1</v>
      </c>
      <c r="M22" s="28">
        <v>25000</v>
      </c>
      <c r="N22" s="29">
        <f t="shared" si="1"/>
        <v>25000</v>
      </c>
      <c r="P22" s="26"/>
    </row>
    <row r="23" spans="2:17" x14ac:dyDescent="0.25">
      <c r="B23" s="34" t="s">
        <v>14</v>
      </c>
      <c r="C23" s="61" t="s">
        <v>79</v>
      </c>
      <c r="D23" s="5" t="s">
        <v>93</v>
      </c>
      <c r="E23" s="37">
        <v>46123</v>
      </c>
      <c r="F23" s="43">
        <v>46127</v>
      </c>
      <c r="G23" s="39">
        <v>20</v>
      </c>
      <c r="H23" s="38">
        <v>10000</v>
      </c>
      <c r="I23" s="38">
        <v>200000</v>
      </c>
      <c r="K23" s="3" t="s">
        <v>47</v>
      </c>
      <c r="L23" s="5">
        <v>1</v>
      </c>
      <c r="M23" s="28">
        <v>16667</v>
      </c>
      <c r="N23" s="29">
        <f t="shared" si="1"/>
        <v>16667</v>
      </c>
    </row>
    <row r="24" spans="2:17" x14ac:dyDescent="0.25">
      <c r="B24" s="34" t="s">
        <v>15</v>
      </c>
      <c r="C24" s="61" t="s">
        <v>80</v>
      </c>
      <c r="D24" s="5" t="s">
        <v>93</v>
      </c>
      <c r="E24" s="37">
        <v>46128</v>
      </c>
      <c r="F24" s="43">
        <v>46142</v>
      </c>
      <c r="G24" s="39">
        <v>60</v>
      </c>
      <c r="H24" s="38">
        <v>10000</v>
      </c>
      <c r="I24" s="38">
        <v>600000</v>
      </c>
      <c r="K24" s="3" t="s">
        <v>48</v>
      </c>
      <c r="L24" s="5">
        <v>1</v>
      </c>
      <c r="M24" s="28">
        <v>500</v>
      </c>
      <c r="N24" s="29">
        <f t="shared" si="1"/>
        <v>500</v>
      </c>
    </row>
    <row r="25" spans="2:17" x14ac:dyDescent="0.25">
      <c r="B25" s="34" t="s">
        <v>16</v>
      </c>
      <c r="C25" s="61" t="s">
        <v>81</v>
      </c>
      <c r="D25" s="5" t="s">
        <v>93</v>
      </c>
      <c r="E25" s="37">
        <v>46143</v>
      </c>
      <c r="F25" s="43">
        <v>46157</v>
      </c>
      <c r="G25" s="39">
        <v>60</v>
      </c>
      <c r="H25" s="38">
        <v>10000</v>
      </c>
      <c r="I25" s="38">
        <v>600000</v>
      </c>
      <c r="K25" s="3" t="s">
        <v>49</v>
      </c>
      <c r="L25" s="5">
        <v>1</v>
      </c>
      <c r="M25" s="28">
        <v>500</v>
      </c>
      <c r="N25" s="29">
        <f t="shared" si="1"/>
        <v>500</v>
      </c>
    </row>
    <row r="26" spans="2:17" x14ac:dyDescent="0.25">
      <c r="B26" s="34" t="s">
        <v>17</v>
      </c>
      <c r="C26" s="61" t="s">
        <v>82</v>
      </c>
      <c r="D26" s="5" t="s">
        <v>93</v>
      </c>
      <c r="E26" s="37">
        <v>46158</v>
      </c>
      <c r="F26" s="43">
        <v>46164</v>
      </c>
      <c r="G26" s="39">
        <v>28</v>
      </c>
      <c r="H26" s="38">
        <v>10000</v>
      </c>
      <c r="I26" s="38">
        <v>280000</v>
      </c>
      <c r="K26" s="3" t="s">
        <v>50</v>
      </c>
      <c r="L26" s="5">
        <v>1</v>
      </c>
      <c r="M26" s="28">
        <v>6714</v>
      </c>
      <c r="N26" s="29">
        <f t="shared" si="1"/>
        <v>6714</v>
      </c>
    </row>
    <row r="27" spans="2:17" x14ac:dyDescent="0.25">
      <c r="B27" s="34" t="s">
        <v>18</v>
      </c>
      <c r="C27" s="61" t="s">
        <v>83</v>
      </c>
      <c r="D27" s="5" t="s">
        <v>93</v>
      </c>
      <c r="E27" s="37">
        <v>46165</v>
      </c>
      <c r="F27" s="43">
        <v>46168</v>
      </c>
      <c r="G27" s="39">
        <v>16</v>
      </c>
      <c r="H27" s="38">
        <v>10000</v>
      </c>
      <c r="I27" s="38">
        <v>160000</v>
      </c>
      <c r="K27" s="3" t="s">
        <v>51</v>
      </c>
      <c r="L27" s="5">
        <v>1</v>
      </c>
      <c r="M27" s="28">
        <v>80000</v>
      </c>
      <c r="N27" s="29">
        <f t="shared" si="1"/>
        <v>80000</v>
      </c>
    </row>
    <row r="28" spans="2:17" ht="30" x14ac:dyDescent="0.25">
      <c r="B28" s="47">
        <v>4</v>
      </c>
      <c r="C28" s="64" t="s">
        <v>19</v>
      </c>
      <c r="D28" s="48" t="s">
        <v>96</v>
      </c>
      <c r="E28" s="48">
        <v>46169</v>
      </c>
      <c r="F28" s="49">
        <v>46171</v>
      </c>
      <c r="G28" s="24">
        <f>SUM(G29:G32)</f>
        <v>28</v>
      </c>
      <c r="H28" s="25">
        <v>30000</v>
      </c>
      <c r="I28" s="25">
        <f>G28*H28</f>
        <v>840000</v>
      </c>
      <c r="K28" s="68" t="s">
        <v>114</v>
      </c>
      <c r="L28" s="5">
        <v>1</v>
      </c>
      <c r="M28" s="28">
        <v>1050000</v>
      </c>
      <c r="N28" s="29">
        <f t="shared" si="1"/>
        <v>1050000</v>
      </c>
    </row>
    <row r="29" spans="2:17" x14ac:dyDescent="0.25">
      <c r="B29" s="34" t="s">
        <v>20</v>
      </c>
      <c r="C29" s="61" t="s">
        <v>108</v>
      </c>
      <c r="D29" s="39" t="s">
        <v>91</v>
      </c>
      <c r="E29" s="37">
        <v>46169</v>
      </c>
      <c r="F29" s="43">
        <v>46169</v>
      </c>
      <c r="G29" s="39">
        <v>4</v>
      </c>
      <c r="H29" s="38">
        <v>10000</v>
      </c>
      <c r="I29" s="38">
        <v>40000</v>
      </c>
      <c r="K29" s="30" t="s">
        <v>53</v>
      </c>
      <c r="L29" s="31"/>
      <c r="M29" s="32"/>
      <c r="N29" s="33">
        <f>SUM(N4:N28)</f>
        <v>2241920</v>
      </c>
    </row>
    <row r="30" spans="2:17" ht="27" x14ac:dyDescent="0.25">
      <c r="B30" s="34" t="s">
        <v>21</v>
      </c>
      <c r="C30" s="61" t="s">
        <v>109</v>
      </c>
      <c r="D30" s="36" t="s">
        <v>113</v>
      </c>
      <c r="E30" s="37">
        <v>46169</v>
      </c>
      <c r="F30" s="43">
        <v>46170</v>
      </c>
      <c r="G30" s="39">
        <v>16</v>
      </c>
      <c r="H30" s="38">
        <v>20000</v>
      </c>
      <c r="I30" s="38">
        <v>320000</v>
      </c>
    </row>
    <row r="31" spans="2:17" x14ac:dyDescent="0.25">
      <c r="B31" s="34" t="s">
        <v>110</v>
      </c>
      <c r="C31" s="61" t="s">
        <v>84</v>
      </c>
      <c r="D31" s="39" t="s">
        <v>93</v>
      </c>
      <c r="E31" s="37">
        <v>46171</v>
      </c>
      <c r="F31" s="43">
        <v>46171</v>
      </c>
      <c r="G31" s="39">
        <v>4</v>
      </c>
      <c r="H31" s="38">
        <v>10000</v>
      </c>
      <c r="I31" s="38">
        <v>40000</v>
      </c>
    </row>
    <row r="32" spans="2:17" x14ac:dyDescent="0.25">
      <c r="B32" s="34" t="s">
        <v>111</v>
      </c>
      <c r="C32" s="61" t="s">
        <v>112</v>
      </c>
      <c r="D32" s="39" t="s">
        <v>91</v>
      </c>
      <c r="E32" s="37">
        <v>46172</v>
      </c>
      <c r="F32" s="43">
        <v>46172</v>
      </c>
      <c r="G32" s="39">
        <v>4</v>
      </c>
      <c r="H32" s="38">
        <v>10000</v>
      </c>
      <c r="I32" s="38">
        <v>40000</v>
      </c>
    </row>
    <row r="33" spans="2:11" x14ac:dyDescent="0.25">
      <c r="C33" s="35" t="s">
        <v>53</v>
      </c>
      <c r="I33" s="67">
        <f>I4+I12+I22+I28</f>
        <v>9520000</v>
      </c>
    </row>
    <row r="37" spans="2:11" x14ac:dyDescent="0.25">
      <c r="B37" s="56"/>
      <c r="C37" s="56"/>
      <c r="D37" s="56"/>
      <c r="E37" s="56"/>
      <c r="F37" s="56"/>
      <c r="G37" s="56"/>
      <c r="H37" s="56"/>
      <c r="I37" s="56"/>
    </row>
    <row r="38" spans="2:11" x14ac:dyDescent="0.25">
      <c r="B38" s="57"/>
      <c r="C38" s="57"/>
      <c r="D38" s="57"/>
      <c r="E38" s="58"/>
      <c r="F38" s="58"/>
      <c r="G38" s="57"/>
      <c r="H38" s="59"/>
      <c r="I38" s="59"/>
    </row>
    <row r="39" spans="2:11" x14ac:dyDescent="0.25">
      <c r="B39" s="57"/>
      <c r="C39" s="57"/>
      <c r="D39" s="57"/>
      <c r="E39" s="58"/>
      <c r="F39" s="58"/>
      <c r="G39" s="57"/>
      <c r="H39" s="59"/>
      <c r="I39" s="59"/>
    </row>
    <row r="40" spans="2:11" x14ac:dyDescent="0.25">
      <c r="B40" s="57"/>
      <c r="C40" s="57"/>
      <c r="D40" s="57"/>
      <c r="E40" s="58"/>
      <c r="F40" s="58"/>
      <c r="G40" s="57"/>
      <c r="H40" s="59"/>
      <c r="I40" s="59"/>
    </row>
    <row r="41" spans="2:11" x14ac:dyDescent="0.25">
      <c r="B41" s="57"/>
      <c r="C41" s="57"/>
      <c r="D41" s="57"/>
      <c r="E41" s="58"/>
      <c r="F41" s="58"/>
      <c r="G41" s="57"/>
      <c r="H41" s="59"/>
      <c r="I41" s="59"/>
    </row>
    <row r="42" spans="2:11" x14ac:dyDescent="0.25">
      <c r="B42" s="57"/>
      <c r="C42" s="57"/>
      <c r="D42" s="57"/>
      <c r="E42" s="58"/>
      <c r="F42" s="58"/>
      <c r="G42" s="57"/>
      <c r="H42" s="59"/>
      <c r="I42" s="59"/>
    </row>
    <row r="43" spans="2:11" x14ac:dyDescent="0.25">
      <c r="B43" s="57"/>
      <c r="C43" s="57"/>
      <c r="D43" s="57"/>
      <c r="E43" s="58"/>
      <c r="F43" s="58"/>
      <c r="G43" s="57"/>
      <c r="H43" s="59"/>
      <c r="I43" s="59"/>
    </row>
    <row r="44" spans="2:11" x14ac:dyDescent="0.25">
      <c r="B44" s="57"/>
      <c r="C44" s="57"/>
      <c r="D44" s="57"/>
      <c r="E44" s="58"/>
      <c r="F44" s="58"/>
      <c r="G44" s="57"/>
      <c r="H44" s="59"/>
      <c r="I44" s="59"/>
    </row>
    <row r="45" spans="2:11" x14ac:dyDescent="0.25">
      <c r="B45" s="57"/>
      <c r="C45" s="57"/>
      <c r="D45" s="57"/>
      <c r="E45" s="58"/>
      <c r="F45" s="58"/>
      <c r="G45" s="57"/>
      <c r="H45" s="59"/>
      <c r="I45" s="59"/>
      <c r="K45" s="51"/>
    </row>
    <row r="46" spans="2:11" x14ac:dyDescent="0.25">
      <c r="B46" s="57"/>
      <c r="C46" s="57"/>
      <c r="D46" s="57"/>
      <c r="E46" s="58"/>
      <c r="F46" s="58"/>
      <c r="G46" s="57"/>
      <c r="H46" s="59"/>
      <c r="I46" s="59"/>
      <c r="K46" s="51"/>
    </row>
  </sheetData>
  <mergeCells count="4">
    <mergeCell ref="P12:Q12"/>
    <mergeCell ref="B2:I2"/>
    <mergeCell ref="K2:N2"/>
    <mergeCell ref="P2:S2"/>
  </mergeCells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EMERSON  PEREZ RAMIREZ</dc:creator>
  <cp:lastModifiedBy>JHON EMERSON  PEREZ RAMIREZ</cp:lastModifiedBy>
  <dcterms:created xsi:type="dcterms:W3CDTF">2026-03-04T17:10:06Z</dcterms:created>
  <dcterms:modified xsi:type="dcterms:W3CDTF">2026-03-09T00:55:42Z</dcterms:modified>
</cp:coreProperties>
</file>