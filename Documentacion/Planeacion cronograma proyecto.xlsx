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10EC4532-798F-4431-96DE-E61FFAD5BCAB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ROYECTO SOFTWARE ARDUINO CUBO " sheetId="1" r:id="rId1"/>
  </sheets>
  <definedNames>
    <definedName name="_xlnm.Print_Area" localSheetId="0">'PROYECTO SOFTWARE ARDUINO CUBO '!$B$1:$I$75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71" i="1" l="1"/>
  <c r="H72" i="1"/>
  <c r="H73" i="1"/>
  <c r="H74" i="1"/>
  <c r="H75" i="1"/>
  <c r="H70" i="1"/>
  <c r="H67" i="1"/>
  <c r="H68" i="1"/>
  <c r="H66" i="1"/>
  <c r="H56" i="1"/>
  <c r="H57" i="1"/>
  <c r="H58" i="1"/>
  <c r="H59" i="1"/>
  <c r="H60" i="1"/>
  <c r="H61" i="1"/>
  <c r="H62" i="1"/>
  <c r="H63" i="1"/>
  <c r="H64" i="1"/>
  <c r="H55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24" i="1"/>
  <c r="H65" i="1"/>
  <c r="H54" i="1"/>
  <c r="H69" i="1"/>
  <c r="H23" i="1" l="1"/>
  <c r="H18" i="1"/>
  <c r="H19" i="1"/>
  <c r="H20" i="1"/>
  <c r="H21" i="1"/>
  <c r="H22" i="1"/>
  <c r="H17" i="1"/>
  <c r="H16" i="1" l="1"/>
  <c r="H15" i="1"/>
  <c r="H14" i="1"/>
  <c r="H13" i="1"/>
  <c r="H12" i="1"/>
  <c r="H11" i="1"/>
  <c r="H10" i="1"/>
  <c r="H9" i="1"/>
  <c r="H8" i="1"/>
  <c r="H5" i="1" l="1"/>
</calcChain>
</file>

<file path=xl/sharedStrings.xml><?xml version="1.0" encoding="utf-8"?>
<sst xmlns="http://schemas.openxmlformats.org/spreadsheetml/2006/main" count="348" uniqueCount="210">
  <si>
    <t>3.2.1</t>
  </si>
  <si>
    <t>3.2.2</t>
  </si>
  <si>
    <t>Concepción e Inicio del Proyecto</t>
  </si>
  <si>
    <t>Definición y Planificación del Proyecto</t>
  </si>
  <si>
    <t>Nombre de la tarea</t>
  </si>
  <si>
    <t>Estado</t>
  </si>
  <si>
    <t>Asignado a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</si>
  <si>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</si>
  <si>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</si>
  <si>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</si>
  <si>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</si>
  <si>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</si>
  <si>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</si>
  <si>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</si>
  <si>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</si>
  <si>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</si>
  <si>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</si>
  <si>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</si>
  <si>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</si>
  <si>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</si>
  <si>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Jhon Perez</t>
  </si>
  <si>
    <t>1.1.1</t>
  </si>
  <si>
    <t>1.1.2</t>
  </si>
  <si>
    <t>1.2.1</t>
  </si>
  <si>
    <t>2.1.1</t>
  </si>
  <si>
    <t>2.1.2</t>
  </si>
  <si>
    <t>3.1.1</t>
  </si>
  <si>
    <t>3.1.2</t>
  </si>
  <si>
    <t>4.1.1</t>
  </si>
  <si>
    <t>4.1.2</t>
  </si>
  <si>
    <t>PROYECTO SOFTWARE ARDUINO CUBO DE LEDS RGB</t>
  </si>
  <si>
    <t>JHON EMERSON PEREZ RAMIREZ</t>
  </si>
  <si>
    <t>Predecesor 1.1.1</t>
  </si>
  <si>
    <t>Predecesor 1.1.2</t>
  </si>
  <si>
    <t>Predecesor 1.2.1</t>
  </si>
  <si>
    <t>Predecesor 2.1.1</t>
  </si>
  <si>
    <t>Predecesor 2.1.2</t>
  </si>
  <si>
    <t>Predecesor 3.1.1</t>
  </si>
  <si>
    <t>Predecesor 3.1.2</t>
  </si>
  <si>
    <t>Predecesor 3.2.2</t>
  </si>
  <si>
    <t>Predecesor 3.2.1</t>
  </si>
  <si>
    <t>Predecesor 4.1.1</t>
  </si>
  <si>
    <t>Inicio del proyecto</t>
  </si>
  <si>
    <t>WBS</t>
  </si>
  <si>
    <t>1.1.3</t>
  </si>
  <si>
    <t>1.1.4</t>
  </si>
  <si>
    <t>Predecesor 1.1.3</t>
  </si>
  <si>
    <t>1.1.5</t>
  </si>
  <si>
    <t>1.1.6</t>
  </si>
  <si>
    <t>Predecesor 1.1.5</t>
  </si>
  <si>
    <t>Predecesor 1.1.6</t>
  </si>
  <si>
    <t>2.1.3</t>
  </si>
  <si>
    <t>2.1.4</t>
  </si>
  <si>
    <t>Predecesor 2.1.3</t>
  </si>
  <si>
    <t>2.1.5</t>
  </si>
  <si>
    <t>Predecesor 2.1.4</t>
  </si>
  <si>
    <t>2.2.1</t>
  </si>
  <si>
    <t>Predecesor 2.1.5</t>
  </si>
  <si>
    <t>No iniciado</t>
  </si>
  <si>
    <t xml:space="preserve">   Predecesor 1.1.4</t>
  </si>
  <si>
    <t>4.1.3</t>
  </si>
  <si>
    <t>Predecesor 4.1.2</t>
  </si>
  <si>
    <t>4.1.4</t>
  </si>
  <si>
    <t>Predecesor 4.1.3</t>
  </si>
  <si>
    <t>Identificar interesados del proyecto</t>
  </si>
  <si>
    <t>Definir objetivo del proyecto</t>
  </si>
  <si>
    <t>Levantar requerimientos del sistema</t>
  </si>
  <si>
    <t>Establecer alcance del proyecto</t>
  </si>
  <si>
    <t>Identificar funcionalidades del software</t>
  </si>
  <si>
    <t>Definir limitaciones tecnicas</t>
  </si>
  <si>
    <t>Analizar memoria y pines del Arduino</t>
  </si>
  <si>
    <t>Elaborar EDT del proyecto</t>
  </si>
  <si>
    <t>Construir cronograma del proyecto</t>
  </si>
  <si>
    <t>Asignar responsables por tarea</t>
  </si>
  <si>
    <t>Estimar recursos necesarios</t>
  </si>
  <si>
    <t>Estimar costos y presupuesto</t>
  </si>
  <si>
    <t>Diseñar flujo general del programa</t>
  </si>
  <si>
    <t>Construir molde de LEDs</t>
  </si>
  <si>
    <t>Construir molde estructural</t>
  </si>
  <si>
    <t>Cortar tramos de alambre</t>
  </si>
  <si>
    <t>3.2.3</t>
  </si>
  <si>
    <t>3.2.4</t>
  </si>
  <si>
    <t>Predecesor 3.2.3</t>
  </si>
  <si>
    <t>3.2.5</t>
  </si>
  <si>
    <t>Predecesor 3.2.4</t>
  </si>
  <si>
    <t>Predecesor 3.2.5</t>
  </si>
  <si>
    <t>Configurar entorno y librerias</t>
  </si>
  <si>
    <t>Configurar comunicacion con LEDs</t>
  </si>
  <si>
    <t>4.1.5</t>
  </si>
  <si>
    <t>Predecesor 4.1.4</t>
  </si>
  <si>
    <t>4.1.6</t>
  </si>
  <si>
    <t>Predecesor 4.1.5</t>
  </si>
  <si>
    <t>4.1.7</t>
  </si>
  <si>
    <t>5.1.1</t>
  </si>
  <si>
    <t>Predecesor 4.1.7</t>
  </si>
  <si>
    <t>5.1.2</t>
  </si>
  <si>
    <t>Predecesor 5.1.1</t>
  </si>
  <si>
    <t>5.1.3</t>
  </si>
  <si>
    <t>Predecesor 5.1.2</t>
  </si>
  <si>
    <t>Predecesor 5.1.3</t>
  </si>
  <si>
    <t>Optimizar rendimiento</t>
  </si>
  <si>
    <t>Construccion del Cubo LED</t>
  </si>
  <si>
    <t>Soldar paneles LED (8x8)</t>
  </si>
  <si>
    <t>Soldar linea de datos entre paneles</t>
  </si>
  <si>
    <t>Soldar VCC y GND horizontales</t>
  </si>
  <si>
    <t>Soldar VCC y GND verticales</t>
  </si>
  <si>
    <t>3.2.6</t>
  </si>
  <si>
    <t>3.2.7</t>
  </si>
  <si>
    <t>3.2.8</t>
  </si>
  <si>
    <t>Predecesor 3.2.6</t>
  </si>
  <si>
    <t>Predecesor 3.2.7</t>
  </si>
  <si>
    <t>Desarrollo de Software Arduino</t>
  </si>
  <si>
    <t>Programar control individual de LEDs</t>
  </si>
  <si>
    <t>Implementar manejo matricial 3D</t>
  </si>
  <si>
    <t>Programar figuras 3D y 2D</t>
  </si>
  <si>
    <t>Programar animaciones (barrido, expansion, rotacion, capas, lluvia)</t>
  </si>
  <si>
    <t>Pruebas con hardware real</t>
  </si>
  <si>
    <t>4.1.8</t>
  </si>
  <si>
    <t>Cierre sistema Arduino y Cubo</t>
  </si>
  <si>
    <t>Pruebas integradas Arduino + Cubo</t>
  </si>
  <si>
    <t>Documentar codigo Arduino</t>
  </si>
  <si>
    <t>Informe parcial (avance del cubo)</t>
  </si>
  <si>
    <t>Desarrollo sistema de voz e IA</t>
  </si>
  <si>
    <t>6.1</t>
  </si>
  <si>
    <t>Configurar Raspberry Pi</t>
  </si>
  <si>
    <t>6.2</t>
  </si>
  <si>
    <t>Implementar reconocimiento de voz</t>
  </si>
  <si>
    <t>Predecesor 6.1</t>
  </si>
  <si>
    <t>6.3</t>
  </si>
  <si>
    <t>Procesamiento de comandos (NLP)</t>
  </si>
  <si>
    <t>Predecesor 6.2</t>
  </si>
  <si>
    <t>6.4</t>
  </si>
  <si>
    <t>Predecesor 6.3</t>
  </si>
  <si>
    <t>6.5</t>
  </si>
  <si>
    <t>Pruebas sistema completo</t>
  </si>
  <si>
    <t>Predecesor 6.4</t>
  </si>
  <si>
    <t>6.6</t>
  </si>
  <si>
    <t>Ajustes finales y demo</t>
  </si>
  <si>
    <t>Predecesor 6.5</t>
  </si>
  <si>
    <t>Diseñar base y tapa acrilica</t>
  </si>
  <si>
    <t>Fabricacion de base acrilica negra</t>
  </si>
  <si>
    <t>Proveedor</t>
  </si>
  <si>
    <t>Fabricacion de tapa acrilica transparente</t>
  </si>
  <si>
    <t>3.2.9</t>
  </si>
  <si>
    <t>Pintar panel 1</t>
  </si>
  <si>
    <t>3.2.10</t>
  </si>
  <si>
    <t>Pintar panel 2</t>
  </si>
  <si>
    <t>Predecesor 3.2.9</t>
  </si>
  <si>
    <t>3.2.11</t>
  </si>
  <si>
    <t>Pintar panel 3</t>
  </si>
  <si>
    <t>Predecesor 3.2.10</t>
  </si>
  <si>
    <t>3.2.12</t>
  </si>
  <si>
    <t>Pintar panel 4</t>
  </si>
  <si>
    <t>Predecesor 3.2.11</t>
  </si>
  <si>
    <t>3.2.13</t>
  </si>
  <si>
    <t>Pintar panel 5</t>
  </si>
  <si>
    <t>Predecesor 3.2.12</t>
  </si>
  <si>
    <t>3.2.14</t>
  </si>
  <si>
    <t>Pintar panel 6</t>
  </si>
  <si>
    <t>Predecesor 3.2.13</t>
  </si>
  <si>
    <t>3.2.15</t>
  </si>
  <si>
    <t>Pintar panel 7</t>
  </si>
  <si>
    <t>Predecesor 3.2.14</t>
  </si>
  <si>
    <t>3.2.16</t>
  </si>
  <si>
    <t>Pintar panel 8</t>
  </si>
  <si>
    <t>Predecesor 3.2.15</t>
  </si>
  <si>
    <t>3.2.17</t>
  </si>
  <si>
    <t>Pruebas electricas de paneles pintados</t>
  </si>
  <si>
    <t>Predecesor 3.2.16</t>
  </si>
  <si>
    <t>3.2.18</t>
  </si>
  <si>
    <t>Correccion de fallas de transmision</t>
  </si>
  <si>
    <t>Predecesor 3.2.17</t>
  </si>
  <si>
    <t>3.2.19</t>
  </si>
  <si>
    <t>Fabricacion de soportes transparentes internos</t>
  </si>
  <si>
    <t>3.2.20</t>
  </si>
  <si>
    <t>Compra de tornillos prisioneros M3</t>
  </si>
  <si>
    <t>Predecesor 3.2.19</t>
  </si>
  <si>
    <t>3.2.21</t>
  </si>
  <si>
    <t>Instalacion de soportes internos</t>
  </si>
  <si>
    <t>Predecesor 3.2.20</t>
  </si>
  <si>
    <t>3.2.22</t>
  </si>
  <si>
    <t>Montaje mecanico del cubo</t>
  </si>
  <si>
    <t>Predecesor 3.2.21</t>
  </si>
  <si>
    <t>3.2.23</t>
  </si>
  <si>
    <t>Conexion electrica final del cubo</t>
  </si>
  <si>
    <t>Predecesor 3.2.22</t>
  </si>
  <si>
    <t>3.2.24</t>
  </si>
  <si>
    <t>Verificacion estructural y ajustes finales</t>
  </si>
  <si>
    <t>Predecesor 3.2.23</t>
  </si>
  <si>
    <t>Perforar soportes transparentes</t>
  </si>
  <si>
    <t>Predecesor 3.2.18</t>
  </si>
  <si>
    <t>3.2.25</t>
  </si>
  <si>
    <t>Gestionar proveedor de acrilicos</t>
  </si>
  <si>
    <t>Buscar material para soportes transparentes</t>
  </si>
  <si>
    <t>Verificar ajuste de soportes y tornillos</t>
  </si>
  <si>
    <t>3.2.26</t>
  </si>
  <si>
    <t>Predecesor 3.2.25</t>
  </si>
  <si>
    <t>3.2.27</t>
  </si>
  <si>
    <t>Predecesor 3.2.26</t>
  </si>
  <si>
    <t>3.2.28</t>
  </si>
  <si>
    <t>Predecesor 3.2.27</t>
  </si>
  <si>
    <t>Integracion del software con el cubo fisico</t>
  </si>
  <si>
    <t>Predecesor 3.2.28</t>
  </si>
  <si>
    <t>4.1.9</t>
  </si>
  <si>
    <t>Correccion de errores detectados</t>
  </si>
  <si>
    <t>Predecesor 4.1.8</t>
  </si>
  <si>
    <t>4.1.10</t>
  </si>
  <si>
    <t>Predecesor 4.1.9</t>
  </si>
  <si>
    <t>Predecesor 4.1.10</t>
  </si>
  <si>
    <t>Integracion voz con cubo 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</si>
</sst>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8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0"/>
      <name val="Century Gothic"/>
      <family val="2"/>
    </font>
    <font>
      <sz val="10"/>
      <name val="Century Gothic"/>
      <family val="2"/>
    </font>
    <font>
      <b/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7030A0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86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164" fontId="11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164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2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165" fontId="4" fillId="2" borderId="0" xfId="0" applyNumberFormat="1" applyFont="1" applyFill="1" applyAlignment="1">
      <alignment horizontal="left" vertical="center" wrapText="1"/>
    </xf>
    <xf numFmtId="0" fontId="15" fillId="6" borderId="3" xfId="0" applyFont="1" applyFill="1" applyBorder="1" applyAlignment="1">
      <alignment horizontal="left" vertical="center" wrapText="1" indent="1"/>
    </xf>
    <xf numFmtId="0" fontId="16" fillId="6" borderId="3" xfId="0" applyFont="1" applyFill="1" applyBorder="1" applyAlignment="1">
      <alignment horizontal="left" vertical="center" wrapText="1" indent="1" readingOrder="1"/>
    </xf>
    <xf numFmtId="164" fontId="15" fillId="6" borderId="3" xfId="0" applyNumberFormat="1" applyFont="1" applyFill="1" applyBorder="1" applyAlignment="1">
      <alignment horizontal="left" vertical="center" wrapText="1" indent="1"/>
    </xf>
    <xf numFmtId="1" fontId="15" fillId="6" borderId="3" xfId="0" applyNumberFormat="1" applyFont="1" applyFill="1" applyBorder="1" applyAlignment="1">
      <alignment horizontal="left" vertical="center" wrapText="1" indent="1"/>
    </xf>
    <xf numFmtId="0" fontId="5" fillId="7" borderId="3" xfId="0" applyFont="1" applyFill="1" applyBorder="1" applyAlignment="1">
      <alignment horizontal="left" vertical="center" wrapText="1" indent="1" readingOrder="1"/>
    </xf>
    <xf numFmtId="0" fontId="9" fillId="8" borderId="3" xfId="0" applyFont="1" applyFill="1" applyBorder="1" applyAlignment="1">
      <alignment horizontal="left" vertical="center" wrapText="1" indent="1" readingOrder="1"/>
    </xf>
    <xf numFmtId="0" fontId="10" fillId="16" borderId="3" xfId="0" applyFont="1" applyFill="1" applyBorder="1" applyAlignment="1">
      <alignment horizontal="left" vertical="center" wrapText="1" indent="1"/>
    </xf>
    <xf numFmtId="0" fontId="5" fillId="16" borderId="3" xfId="0" applyFont="1" applyFill="1" applyBorder="1" applyAlignment="1">
      <alignment horizontal="left" vertical="center" wrapText="1" indent="1" readingOrder="1"/>
    </xf>
    <xf numFmtId="164" fontId="11" fillId="16" borderId="3" xfId="0" applyNumberFormat="1" applyFont="1" applyFill="1" applyBorder="1" applyAlignment="1">
      <alignment horizontal="left" vertical="center" wrapText="1" indent="1"/>
    </xf>
    <xf numFmtId="1" fontId="10" fillId="16" borderId="3" xfId="0" applyNumberFormat="1" applyFont="1" applyFill="1" applyBorder="1" applyAlignment="1">
      <alignment horizontal="left" vertical="center" wrapText="1" indent="1"/>
    </xf>
    <xf numFmtId="0" fontId="4" fillId="16" borderId="3" xfId="0" applyFont="1" applyFill="1" applyBorder="1" applyAlignment="1">
      <alignment horizontal="left" vertical="center" wrapText="1" indent="1"/>
    </xf>
    <xf numFmtId="1" fontId="4" fillId="17" borderId="1" xfId="0" applyNumberFormat="1" applyFont="1" applyFill="1" applyBorder="1" applyAlignment="1">
      <alignment horizontal="left" vertical="center" wrapText="1" indent="1"/>
    </xf>
    <xf numFmtId="1" fontId="4" fillId="14" borderId="1" xfId="0" applyNumberFormat="1" applyFont="1" applyFill="1" applyBorder="1" applyAlignment="1">
      <alignment horizontal="left" vertical="center" wrapText="1" indent="1"/>
    </xf>
    <xf numFmtId="14" fontId="12" fillId="9" borderId="6" xfId="0" applyNumberFormat="1" applyFont="1" applyFill="1" applyBorder="1" applyAlignment="1">
      <alignment horizontal="left" vertical="center" wrapText="1" indent="1"/>
    </xf>
    <xf numFmtId="14" fontId="12" fillId="9" borderId="4" xfId="0" applyNumberFormat="1" applyFont="1" applyFill="1" applyBorder="1" applyAlignment="1">
      <alignment horizontal="left" vertical="center" wrapText="1" indent="1"/>
    </xf>
    <xf numFmtId="14" fontId="10" fillId="5" borderId="3" xfId="0" applyNumberFormat="1" applyFont="1" applyFill="1" applyBorder="1" applyAlignment="1">
      <alignment horizontal="left" vertical="center" wrapText="1" indent="1"/>
    </xf>
    <xf numFmtId="14" fontId="10" fillId="5" borderId="7" xfId="0" applyNumberFormat="1" applyFont="1" applyFill="1" applyBorder="1" applyAlignment="1">
      <alignment horizontal="left" vertical="center" wrapText="1" indent="1"/>
    </xf>
    <xf numFmtId="14" fontId="5" fillId="0" borderId="1" xfId="0" applyNumberFormat="1" applyFont="1" applyBorder="1" applyAlignment="1">
      <alignment horizontal="left" vertical="center" wrapText="1" indent="1" readingOrder="1"/>
    </xf>
    <xf numFmtId="14" fontId="15" fillId="6" borderId="3" xfId="0" applyNumberFormat="1" applyFont="1" applyFill="1" applyBorder="1" applyAlignment="1">
      <alignment horizontal="left" vertical="center" wrapText="1" indent="1" readingOrder="1"/>
    </xf>
    <xf numFmtId="14" fontId="15" fillId="6" borderId="3" xfId="0" applyNumberFormat="1" applyFont="1" applyFill="1" applyBorder="1" applyAlignment="1">
      <alignment horizontal="left" vertical="center" wrapText="1" indent="1"/>
    </xf>
    <xf numFmtId="14" fontId="4" fillId="0" borderId="1" xfId="0" applyNumberFormat="1" applyFont="1" applyBorder="1" applyAlignment="1">
      <alignment horizontal="left" vertical="center" wrapText="1" indent="1"/>
    </xf>
    <xf numFmtId="14" fontId="5" fillId="0" borderId="2" xfId="0" applyNumberFormat="1" applyFont="1" applyBorder="1" applyAlignment="1">
      <alignment horizontal="left" vertical="center" wrapText="1" indent="1" readingOrder="1"/>
    </xf>
    <xf numFmtId="14" fontId="4" fillId="0" borderId="2" xfId="0" applyNumberFormat="1" applyFont="1" applyBorder="1" applyAlignment="1">
      <alignment horizontal="left" vertical="center" wrapText="1" indent="1"/>
    </xf>
    <xf numFmtId="14" fontId="10" fillId="7" borderId="3" xfId="0" applyNumberFormat="1" applyFont="1" applyFill="1" applyBorder="1" applyAlignment="1">
      <alignment horizontal="left" vertical="center" wrapText="1" indent="1" readingOrder="1"/>
    </xf>
    <xf numFmtId="14" fontId="10" fillId="7" borderId="3" xfId="0" applyNumberFormat="1" applyFont="1" applyFill="1" applyBorder="1" applyAlignment="1">
      <alignment horizontal="left" vertical="center" wrapText="1" indent="1"/>
    </xf>
    <xf numFmtId="14" fontId="10" fillId="16" borderId="3" xfId="0" applyNumberFormat="1" applyFont="1" applyFill="1" applyBorder="1" applyAlignment="1">
      <alignment horizontal="left" vertical="center" wrapText="1" indent="1" readingOrder="1"/>
    </xf>
    <xf numFmtId="14" fontId="10" fillId="16" borderId="3" xfId="0" applyNumberFormat="1" applyFont="1" applyFill="1" applyBorder="1" applyAlignment="1">
      <alignment horizontal="left" vertical="center" wrapText="1" indent="1"/>
    </xf>
    <xf numFmtId="14" fontId="10" fillId="8" borderId="3" xfId="0" applyNumberFormat="1" applyFont="1" applyFill="1" applyBorder="1" applyAlignment="1">
      <alignment horizontal="left" vertical="center" wrapText="1" indent="1" readingOrder="1"/>
    </xf>
    <xf numFmtId="14" fontId="10" fillId="8" borderId="3" xfId="0" applyNumberFormat="1" applyFont="1" applyFill="1" applyBorder="1" applyAlignment="1">
      <alignment horizontal="left" vertical="center" wrapText="1" indent="1"/>
    </xf>
    <xf numFmtId="14" fontId="4" fillId="2" borderId="0" xfId="0" applyNumberFormat="1" applyFont="1" applyFill="1" applyAlignment="1">
      <alignment wrapText="1"/>
    </xf>
    <xf numFmtId="14" fontId="4" fillId="0" borderId="4" xfId="0" applyNumberFormat="1" applyFont="1" applyBorder="1" applyAlignment="1">
      <alignment horizontal="left" vertical="center" wrapText="1" indent="1"/>
    </xf>
    <xf numFmtId="0" fontId="10" fillId="18" borderId="3" xfId="0" applyFont="1" applyFill="1" applyBorder="1" applyAlignment="1">
      <alignment horizontal="left" vertical="center" wrapText="1" indent="1"/>
    </xf>
    <xf numFmtId="0" fontId="9" fillId="18" borderId="3" xfId="0" applyFont="1" applyFill="1" applyBorder="1" applyAlignment="1">
      <alignment horizontal="left" vertical="center" wrapText="1" indent="1" readingOrder="1"/>
    </xf>
    <xf numFmtId="164" fontId="10" fillId="18" borderId="3" xfId="0" applyNumberFormat="1" applyFont="1" applyFill="1" applyBorder="1" applyAlignment="1">
      <alignment horizontal="left" vertical="center" wrapText="1" indent="1"/>
    </xf>
    <xf numFmtId="14" fontId="10" fillId="18" borderId="3" xfId="0" applyNumberFormat="1" applyFont="1" applyFill="1" applyBorder="1" applyAlignment="1">
      <alignment horizontal="left" vertical="center" wrapText="1" indent="1" readingOrder="1"/>
    </xf>
    <xf numFmtId="14" fontId="10" fillId="18" borderId="3" xfId="0" applyNumberFormat="1" applyFont="1" applyFill="1" applyBorder="1" applyAlignment="1">
      <alignment horizontal="left" vertical="center" wrapText="1" indent="1"/>
    </xf>
    <xf numFmtId="1" fontId="10" fillId="18" borderId="3" xfId="0" applyNumberFormat="1" applyFont="1" applyFill="1" applyBorder="1" applyAlignment="1">
      <alignment horizontal="left" vertical="center" wrapText="1" indent="1"/>
    </xf>
    <xf numFmtId="0" fontId="9" fillId="18" borderId="3" xfId="0" applyFont="1" applyFill="1" applyBorder="1" applyAlignment="1">
      <alignment horizontal="left" vertical="center" wrapText="1" indent="1"/>
    </xf>
    <xf numFmtId="14" fontId="4" fillId="2" borderId="5" xfId="0" applyNumberFormat="1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1" fontId="10" fillId="15" borderId="3" xfId="0" applyNumberFormat="1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center" vertical="center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0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tx>
            <c:v>Fecha Inicio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'!$C$8:$C$72</c:f>
              <c:strCache>
                <c:ptCount val="6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Soldar paneles LED (8x8)</c:v>
                </c:pt>
                <c:pt idx="20">
                  <c:v>Soldar linea de datos entre paneles</c:v>
                </c:pt>
                <c:pt idx="21">
                  <c:v>Soldar VCC y GND horizontales</c:v>
                </c:pt>
                <c:pt idx="22">
                  <c:v>Soldar VCC y GND verticales</c:v>
                </c:pt>
                <c:pt idx="23">
                  <c:v>Diseñar base y tapa acrilica</c:v>
                </c:pt>
                <c:pt idx="24">
                  <c:v>Gestionar proveedor de acrilicos</c:v>
                </c:pt>
                <c:pt idx="25">
                  <c:v>Fabricacion de base acrilica negra</c:v>
                </c:pt>
                <c:pt idx="26">
                  <c:v>Fabricacion de tapa acrilica transparente</c:v>
                </c:pt>
                <c:pt idx="27">
                  <c:v>Pintar panel 1</c:v>
                </c:pt>
                <c:pt idx="28">
                  <c:v>Pintar panel 2</c:v>
                </c:pt>
                <c:pt idx="29">
                  <c:v>Pintar panel 3</c:v>
                </c:pt>
                <c:pt idx="30">
                  <c:v>Pintar panel 4</c:v>
                </c:pt>
                <c:pt idx="31">
                  <c:v>Pintar panel 5</c:v>
                </c:pt>
                <c:pt idx="32">
                  <c:v>Pintar panel 6</c:v>
                </c:pt>
                <c:pt idx="33">
                  <c:v>Pintar panel 7</c:v>
                </c:pt>
                <c:pt idx="34">
                  <c:v>Pintar panel 8</c:v>
                </c:pt>
                <c:pt idx="35">
                  <c:v>Pruebas electricas de paneles pintados</c:v>
                </c:pt>
                <c:pt idx="36">
                  <c:v>Correccion de fallas de transmision</c:v>
                </c:pt>
                <c:pt idx="37">
                  <c:v>Buscar material para soportes transparentes</c:v>
                </c:pt>
                <c:pt idx="38">
                  <c:v>Fabricacion de soportes transparentes internos</c:v>
                </c:pt>
                <c:pt idx="39">
                  <c:v>Perforar soportes transparentes</c:v>
                </c:pt>
                <c:pt idx="40">
                  <c:v>Compra de tornillos prisioneros M3</c:v>
                </c:pt>
                <c:pt idx="41">
                  <c:v>Verificar ajuste de soportes y tornillos</c:v>
                </c:pt>
                <c:pt idx="42">
                  <c:v>Instalacion de soportes internos</c:v>
                </c:pt>
                <c:pt idx="43">
                  <c:v>Montaje mecanico del cubo</c:v>
                </c:pt>
                <c:pt idx="44">
                  <c:v>Conexion electrica final del cubo</c:v>
                </c:pt>
                <c:pt idx="45">
                  <c:v>Verificacion estructural y ajustes finales</c:v>
                </c:pt>
                <c:pt idx="46">
                  <c:v>Desarrollo de Software Arduino</c:v>
                </c:pt>
                <c:pt idx="47">
                  <c:v>Configurar entorno y librerias</c:v>
                </c:pt>
                <c:pt idx="48">
                  <c:v>Configurar comunicacion con LEDs</c:v>
                </c:pt>
                <c:pt idx="49">
                  <c:v>Programar control individual de LEDs</c:v>
                </c:pt>
                <c:pt idx="50">
                  <c:v>Implementar manejo matricial 3D</c:v>
                </c:pt>
                <c:pt idx="51">
                  <c:v>Programar figuras 3D y 2D</c:v>
                </c:pt>
                <c:pt idx="52">
                  <c:v>Programar animaciones (barrido, expansion, rotacion, capas, lluvia)</c:v>
                </c:pt>
                <c:pt idx="53">
                  <c:v>Integracion del software con el cubo fisico</c:v>
                </c:pt>
                <c:pt idx="54">
                  <c:v>Pruebas con hardware real</c:v>
                </c:pt>
                <c:pt idx="55">
                  <c:v>Correccion de errores detectados</c:v>
                </c:pt>
                <c:pt idx="56">
                  <c:v>Optimizar rendimiento</c:v>
                </c:pt>
                <c:pt idx="57">
                  <c:v>Cierre sistema Arduino y Cubo</c:v>
                </c:pt>
                <c:pt idx="58">
                  <c:v>Pruebas integradas Arduino + Cubo</c:v>
                </c:pt>
                <c:pt idx="59">
                  <c:v>Documentar codigo Arduino</c:v>
                </c:pt>
                <c:pt idx="60">
                  <c:v>Informe parcial (avance del cubo)</c:v>
                </c:pt>
                <c:pt idx="61">
                  <c:v>Desarrollo sistema de voz e IA</c:v>
                </c:pt>
                <c:pt idx="62">
                  <c:v>Configurar Raspberry Pi</c:v>
                </c:pt>
                <c:pt idx="63">
                  <c:v>Implementar reconocimiento de voz</c:v>
                </c:pt>
                <c:pt idx="64">
                  <c:v>Procesamiento de comandos (NLP)</c:v>
                </c:pt>
              </c:strCache>
            </c:strRef>
          </c:cat>
          <c:val>
            <c:numRef>
              <c:f>'PROYECTO SOFTWARE ARDUINO CUBO '!$F$8:$F$75</c:f>
              <c:numCache>
                <c:formatCode>m/d/yyyy</c:formatCode>
                <c:ptCount val="68"/>
                <c:pt idx="0">
                  <c:v>46067</c:v>
                </c:pt>
                <c:pt idx="1">
                  <c:v>46067</c:v>
                </c:pt>
                <c:pt idx="2">
                  <c:v>46069</c:v>
                </c:pt>
                <c:pt idx="3">
                  <c:v>46071</c:v>
                </c:pt>
                <c:pt idx="4">
                  <c:v>46074</c:v>
                </c:pt>
                <c:pt idx="5">
                  <c:v>46074</c:v>
                </c:pt>
                <c:pt idx="6">
                  <c:v>46079</c:v>
                </c:pt>
                <c:pt idx="7">
                  <c:v>46082</c:v>
                </c:pt>
                <c:pt idx="8">
                  <c:v>46089</c:v>
                </c:pt>
                <c:pt idx="9">
                  <c:v>46089</c:v>
                </c:pt>
                <c:pt idx="10">
                  <c:v>46091</c:v>
                </c:pt>
                <c:pt idx="11">
                  <c:v>46093</c:v>
                </c:pt>
                <c:pt idx="12">
                  <c:v>46094</c:v>
                </c:pt>
                <c:pt idx="13">
                  <c:v>46096</c:v>
                </c:pt>
                <c:pt idx="14">
                  <c:v>46099</c:v>
                </c:pt>
                <c:pt idx="15">
                  <c:v>46107</c:v>
                </c:pt>
                <c:pt idx="16">
                  <c:v>46107</c:v>
                </c:pt>
                <c:pt idx="17">
                  <c:v>46110</c:v>
                </c:pt>
                <c:pt idx="18">
                  <c:v>46113</c:v>
                </c:pt>
                <c:pt idx="19">
                  <c:v>46115</c:v>
                </c:pt>
                <c:pt idx="20">
                  <c:v>46162</c:v>
                </c:pt>
                <c:pt idx="21">
                  <c:v>46162</c:v>
                </c:pt>
                <c:pt idx="22">
                  <c:v>46162</c:v>
                </c:pt>
                <c:pt idx="23">
                  <c:v>46169</c:v>
                </c:pt>
                <c:pt idx="24">
                  <c:v>46172</c:v>
                </c:pt>
                <c:pt idx="25">
                  <c:v>46172</c:v>
                </c:pt>
                <c:pt idx="26">
                  <c:v>46172</c:v>
                </c:pt>
                <c:pt idx="27">
                  <c:v>46169</c:v>
                </c:pt>
                <c:pt idx="28">
                  <c:v>46173</c:v>
                </c:pt>
                <c:pt idx="29">
                  <c:v>46177</c:v>
                </c:pt>
                <c:pt idx="30">
                  <c:v>46181</c:v>
                </c:pt>
                <c:pt idx="31">
                  <c:v>46185</c:v>
                </c:pt>
                <c:pt idx="32">
                  <c:v>46189</c:v>
                </c:pt>
                <c:pt idx="33">
                  <c:v>46193</c:v>
                </c:pt>
                <c:pt idx="34">
                  <c:v>46197</c:v>
                </c:pt>
                <c:pt idx="35">
                  <c:v>46201</c:v>
                </c:pt>
                <c:pt idx="36">
                  <c:v>46203</c:v>
                </c:pt>
                <c:pt idx="37">
                  <c:v>46180</c:v>
                </c:pt>
                <c:pt idx="38">
                  <c:v>46183</c:v>
                </c:pt>
                <c:pt idx="39">
                  <c:v>46190</c:v>
                </c:pt>
                <c:pt idx="40">
                  <c:v>46193</c:v>
                </c:pt>
                <c:pt idx="41">
                  <c:v>46195</c:v>
                </c:pt>
                <c:pt idx="42">
                  <c:v>46205</c:v>
                </c:pt>
                <c:pt idx="43">
                  <c:v>46208</c:v>
                </c:pt>
                <c:pt idx="44">
                  <c:v>46212</c:v>
                </c:pt>
                <c:pt idx="45">
                  <c:v>46215</c:v>
                </c:pt>
                <c:pt idx="46">
                  <c:v>46133</c:v>
                </c:pt>
                <c:pt idx="47">
                  <c:v>46133</c:v>
                </c:pt>
                <c:pt idx="48">
                  <c:v>46135</c:v>
                </c:pt>
                <c:pt idx="49">
                  <c:v>46148</c:v>
                </c:pt>
                <c:pt idx="50">
                  <c:v>46153</c:v>
                </c:pt>
                <c:pt idx="51">
                  <c:v>46158</c:v>
                </c:pt>
                <c:pt idx="52">
                  <c:v>46163</c:v>
                </c:pt>
                <c:pt idx="53">
                  <c:v>46219</c:v>
                </c:pt>
                <c:pt idx="54">
                  <c:v>46222</c:v>
                </c:pt>
                <c:pt idx="55">
                  <c:v>46224</c:v>
                </c:pt>
                <c:pt idx="56">
                  <c:v>46225</c:v>
                </c:pt>
                <c:pt idx="57">
                  <c:v>46226</c:v>
                </c:pt>
                <c:pt idx="58">
                  <c:v>46226</c:v>
                </c:pt>
                <c:pt idx="59">
                  <c:v>46228</c:v>
                </c:pt>
                <c:pt idx="60">
                  <c:v>46229</c:v>
                </c:pt>
                <c:pt idx="61">
                  <c:v>46231</c:v>
                </c:pt>
                <c:pt idx="62">
                  <c:v>46231</c:v>
                </c:pt>
                <c:pt idx="63">
                  <c:v>46236</c:v>
                </c:pt>
                <c:pt idx="64">
                  <c:v>46251</c:v>
                </c:pt>
                <c:pt idx="65">
                  <c:v>46266</c:v>
                </c:pt>
                <c:pt idx="66">
                  <c:v>46276</c:v>
                </c:pt>
                <c:pt idx="67">
                  <c:v>46286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tx>
            <c:v>Duracion de los dias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'!$C$8:$C$72</c:f>
              <c:strCache>
                <c:ptCount val="6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Soldar paneles LED (8x8)</c:v>
                </c:pt>
                <c:pt idx="20">
                  <c:v>Soldar linea de datos entre paneles</c:v>
                </c:pt>
                <c:pt idx="21">
                  <c:v>Soldar VCC y GND horizontales</c:v>
                </c:pt>
                <c:pt idx="22">
                  <c:v>Soldar VCC y GND verticales</c:v>
                </c:pt>
                <c:pt idx="23">
                  <c:v>Diseñar base y tapa acrilica</c:v>
                </c:pt>
                <c:pt idx="24">
                  <c:v>Gestionar proveedor de acrilicos</c:v>
                </c:pt>
                <c:pt idx="25">
                  <c:v>Fabricacion de base acrilica negra</c:v>
                </c:pt>
                <c:pt idx="26">
                  <c:v>Fabricacion de tapa acrilica transparente</c:v>
                </c:pt>
                <c:pt idx="27">
                  <c:v>Pintar panel 1</c:v>
                </c:pt>
                <c:pt idx="28">
                  <c:v>Pintar panel 2</c:v>
                </c:pt>
                <c:pt idx="29">
                  <c:v>Pintar panel 3</c:v>
                </c:pt>
                <c:pt idx="30">
                  <c:v>Pintar panel 4</c:v>
                </c:pt>
                <c:pt idx="31">
                  <c:v>Pintar panel 5</c:v>
                </c:pt>
                <c:pt idx="32">
                  <c:v>Pintar panel 6</c:v>
                </c:pt>
                <c:pt idx="33">
                  <c:v>Pintar panel 7</c:v>
                </c:pt>
                <c:pt idx="34">
                  <c:v>Pintar panel 8</c:v>
                </c:pt>
                <c:pt idx="35">
                  <c:v>Pruebas electricas de paneles pintados</c:v>
                </c:pt>
                <c:pt idx="36">
                  <c:v>Correccion de fallas de transmision</c:v>
                </c:pt>
                <c:pt idx="37">
                  <c:v>Buscar material para soportes transparentes</c:v>
                </c:pt>
                <c:pt idx="38">
                  <c:v>Fabricacion de soportes transparentes internos</c:v>
                </c:pt>
                <c:pt idx="39">
                  <c:v>Perforar soportes transparentes</c:v>
                </c:pt>
                <c:pt idx="40">
                  <c:v>Compra de tornillos prisioneros M3</c:v>
                </c:pt>
                <c:pt idx="41">
                  <c:v>Verificar ajuste de soportes y tornillos</c:v>
                </c:pt>
                <c:pt idx="42">
                  <c:v>Instalacion de soportes internos</c:v>
                </c:pt>
                <c:pt idx="43">
                  <c:v>Montaje mecanico del cubo</c:v>
                </c:pt>
                <c:pt idx="44">
                  <c:v>Conexion electrica final del cubo</c:v>
                </c:pt>
                <c:pt idx="45">
                  <c:v>Verificacion estructural y ajustes finales</c:v>
                </c:pt>
                <c:pt idx="46">
                  <c:v>Desarrollo de Software Arduino</c:v>
                </c:pt>
                <c:pt idx="47">
                  <c:v>Configurar entorno y librerias</c:v>
                </c:pt>
                <c:pt idx="48">
                  <c:v>Configurar comunicacion con LEDs</c:v>
                </c:pt>
                <c:pt idx="49">
                  <c:v>Programar control individual de LEDs</c:v>
                </c:pt>
                <c:pt idx="50">
                  <c:v>Implementar manejo matricial 3D</c:v>
                </c:pt>
                <c:pt idx="51">
                  <c:v>Programar figuras 3D y 2D</c:v>
                </c:pt>
                <c:pt idx="52">
                  <c:v>Programar animaciones (barrido, expansion, rotacion, capas, lluvia)</c:v>
                </c:pt>
                <c:pt idx="53">
                  <c:v>Integracion del software con el cubo fisico</c:v>
                </c:pt>
                <c:pt idx="54">
                  <c:v>Pruebas con hardware real</c:v>
                </c:pt>
                <c:pt idx="55">
                  <c:v>Correccion de errores detectados</c:v>
                </c:pt>
                <c:pt idx="56">
                  <c:v>Optimizar rendimiento</c:v>
                </c:pt>
                <c:pt idx="57">
                  <c:v>Cierre sistema Arduino y Cubo</c:v>
                </c:pt>
                <c:pt idx="58">
                  <c:v>Pruebas integradas Arduino + Cubo</c:v>
                </c:pt>
                <c:pt idx="59">
                  <c:v>Documentar codigo Arduino</c:v>
                </c:pt>
                <c:pt idx="60">
                  <c:v>Informe parcial (avance del cubo)</c:v>
                </c:pt>
                <c:pt idx="61">
                  <c:v>Desarrollo sistema de voz e IA</c:v>
                </c:pt>
                <c:pt idx="62">
                  <c:v>Configurar Raspberry Pi</c:v>
                </c:pt>
                <c:pt idx="63">
                  <c:v>Implementar reconocimiento de voz</c:v>
                </c:pt>
                <c:pt idx="64">
                  <c:v>Procesamiento de comandos (NLP)</c:v>
                </c:pt>
              </c:strCache>
            </c:strRef>
          </c:cat>
          <c:val>
            <c:numRef>
              <c:f>'PROYECTO SOFTWARE ARDUINO CUBO '!$H$8:$H$75</c:f>
              <c:numCache>
                <c:formatCode>0</c:formatCode>
                <c:ptCount val="68"/>
                <c:pt idx="0">
                  <c:v>22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8</c:v>
                </c:pt>
                <c:pt idx="15">
                  <c:v>112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54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3</c:v>
                </c:pt>
                <c:pt idx="24">
                  <c:v>1</c:v>
                </c:pt>
                <c:pt idx="25">
                  <c:v>8</c:v>
                </c:pt>
                <c:pt idx="26">
                  <c:v>8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2</c:v>
                </c:pt>
                <c:pt idx="36">
                  <c:v>2</c:v>
                </c:pt>
                <c:pt idx="37">
                  <c:v>3</c:v>
                </c:pt>
                <c:pt idx="38">
                  <c:v>7</c:v>
                </c:pt>
                <c:pt idx="39">
                  <c:v>3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4</c:v>
                </c:pt>
                <c:pt idx="44">
                  <c:v>3</c:v>
                </c:pt>
                <c:pt idx="45">
                  <c:v>4</c:v>
                </c:pt>
                <c:pt idx="46">
                  <c:v>93</c:v>
                </c:pt>
                <c:pt idx="47">
                  <c:v>2</c:v>
                </c:pt>
                <c:pt idx="48">
                  <c:v>13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4</c:v>
                </c:pt>
                <c:pt idx="53">
                  <c:v>3</c:v>
                </c:pt>
                <c:pt idx="54">
                  <c:v>2</c:v>
                </c:pt>
                <c:pt idx="55">
                  <c:v>1</c:v>
                </c:pt>
                <c:pt idx="56">
                  <c:v>1</c:v>
                </c:pt>
                <c:pt idx="57">
                  <c:v>5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65</c:v>
                </c:pt>
                <c:pt idx="62">
                  <c:v>5</c:v>
                </c:pt>
                <c:pt idx="63">
                  <c:v>15</c:v>
                </c:pt>
                <c:pt idx="64">
                  <c:v>15</c:v>
                </c:pt>
                <c:pt idx="65">
                  <c:v>10</c:v>
                </c:pt>
                <c:pt idx="66">
                  <c:v>10</c:v>
                </c:pt>
                <c:pt idx="6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92529</xdr:colOff>
      <xdr:row>77</xdr:row>
      <xdr:rowOff>78240</xdr:rowOff>
    </xdr:from>
    <xdr:to>
      <xdr:col>34</xdr:col>
      <xdr:colOff>138735</xdr:colOff>
      <xdr:row>166</xdr:row>
      <xdr:rowOff>40822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13"/>
  <sheetViews>
    <sheetView showGridLines="0" tabSelected="1" zoomScale="85" zoomScaleNormal="85" workbookViewId="0">
      <pane ySplit="1" topLeftCell="A49" activePane="bottomLeft" state="frozen"/>
      <selection pane="bottomLeft" activeCell="E73" sqref="E73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1.875" style="5" bestFit="1" customWidth="1"/>
    <col min="5" max="5" width="20.875" style="5" customWidth="1"/>
    <col min="6" max="6" width="15.25" style="5" customWidth="1"/>
    <col min="7" max="7" width="14.7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85" t="s">
        <v>30</v>
      </c>
      <c r="B1" s="85"/>
      <c r="C1" s="85"/>
      <c r="D1" s="85"/>
      <c r="E1" s="85"/>
      <c r="F1" s="85"/>
      <c r="G1" s="85"/>
      <c r="H1" s="85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10</v>
      </c>
      <c r="D2" s="13"/>
      <c r="E2" s="13" t="s">
        <v>12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23" t="s">
        <v>30</v>
      </c>
      <c r="D3" s="1"/>
      <c r="E3" s="72">
        <v>46067</v>
      </c>
      <c r="F3" s="1"/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24" t="s">
        <v>11</v>
      </c>
      <c r="D4" s="13"/>
      <c r="E4" s="80" t="s">
        <v>13</v>
      </c>
      <c r="F4" s="13"/>
      <c r="G4" s="13"/>
      <c r="H4" s="13" t="s">
        <v>15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33" t="s">
        <v>31</v>
      </c>
      <c r="D5" s="1"/>
      <c r="E5" s="72">
        <v>46295</v>
      </c>
      <c r="F5" s="1"/>
      <c r="G5" s="1"/>
      <c r="H5" s="34">
        <f>IF(E3=0,0,E5-E3)+1</f>
        <v>229</v>
      </c>
      <c r="I5" s="1"/>
      <c r="J5" s="1"/>
      <c r="K5" s="1"/>
      <c r="L5" s="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25"/>
      <c r="F6" s="1"/>
      <c r="G6" s="1"/>
      <c r="H6" s="25"/>
      <c r="I6" s="1"/>
      <c r="J6" s="1"/>
      <c r="K6" s="1"/>
      <c r="L6" s="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27" t="s">
        <v>43</v>
      </c>
      <c r="C7" s="27" t="s">
        <v>4</v>
      </c>
      <c r="D7" s="27" t="s">
        <v>5</v>
      </c>
      <c r="E7" s="27" t="s">
        <v>6</v>
      </c>
      <c r="F7" s="55" t="s">
        <v>12</v>
      </c>
      <c r="G7" s="56" t="s">
        <v>7</v>
      </c>
      <c r="H7" s="27" t="s">
        <v>8</v>
      </c>
      <c r="I7" s="27" t="s">
        <v>9</v>
      </c>
      <c r="J7" s="8"/>
      <c r="K7" s="37" t="s">
        <v>5</v>
      </c>
      <c r="L7" s="8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26">
        <v>1</v>
      </c>
      <c r="C8" s="38" t="s">
        <v>2</v>
      </c>
      <c r="D8" s="35" t="s">
        <v>17</v>
      </c>
      <c r="E8" s="28" t="s">
        <v>20</v>
      </c>
      <c r="F8" s="57">
        <v>46067</v>
      </c>
      <c r="G8" s="58">
        <v>46088</v>
      </c>
      <c r="H8" s="29">
        <f>IF(F8=0,0,G8-F8)+1</f>
        <v>22</v>
      </c>
      <c r="I8" s="30"/>
      <c r="J8" s="6"/>
      <c r="K8" s="36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21</v>
      </c>
      <c r="C9" s="10" t="s">
        <v>64</v>
      </c>
      <c r="D9" s="3" t="s">
        <v>16</v>
      </c>
      <c r="E9" s="4" t="s">
        <v>20</v>
      </c>
      <c r="F9" s="59">
        <v>46067</v>
      </c>
      <c r="G9" s="59">
        <v>46068</v>
      </c>
      <c r="H9" s="31">
        <f t="shared" ref="H9:H12" si="0">IF(F9=0,0,G9-F9)+1</f>
        <v>2</v>
      </c>
      <c r="I9" s="2" t="s">
        <v>42</v>
      </c>
      <c r="J9" s="6"/>
      <c r="K9" s="35" t="s">
        <v>17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22</v>
      </c>
      <c r="C10" s="10" t="s">
        <v>65</v>
      </c>
      <c r="D10" s="3" t="s">
        <v>16</v>
      </c>
      <c r="E10" s="4" t="s">
        <v>20</v>
      </c>
      <c r="F10" s="59">
        <v>46069</v>
      </c>
      <c r="G10" s="59">
        <v>46070</v>
      </c>
      <c r="H10" s="31">
        <f t="shared" si="0"/>
        <v>2</v>
      </c>
      <c r="I10" s="2" t="s">
        <v>32</v>
      </c>
      <c r="J10" s="6"/>
      <c r="K10" s="39" t="s">
        <v>16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44</v>
      </c>
      <c r="C11" s="10" t="s">
        <v>66</v>
      </c>
      <c r="D11" s="3" t="s">
        <v>16</v>
      </c>
      <c r="E11" s="4" t="s">
        <v>20</v>
      </c>
      <c r="F11" s="59">
        <v>46071</v>
      </c>
      <c r="G11" s="59">
        <v>46073</v>
      </c>
      <c r="H11" s="31">
        <f t="shared" si="0"/>
        <v>3</v>
      </c>
      <c r="I11" s="2" t="s">
        <v>33</v>
      </c>
      <c r="J11" s="6"/>
      <c r="K11" s="40" t="s">
        <v>19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 t="s">
        <v>45</v>
      </c>
      <c r="C12" s="10" t="s">
        <v>67</v>
      </c>
      <c r="D12" s="3" t="s">
        <v>16</v>
      </c>
      <c r="E12" s="4" t="s">
        <v>20</v>
      </c>
      <c r="F12" s="59">
        <v>46074</v>
      </c>
      <c r="G12" s="59">
        <v>46074</v>
      </c>
      <c r="H12" s="31">
        <f t="shared" si="0"/>
        <v>1</v>
      </c>
      <c r="I12" s="2" t="s">
        <v>46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47</v>
      </c>
      <c r="C13" s="10" t="s">
        <v>68</v>
      </c>
      <c r="D13" s="3" t="s">
        <v>16</v>
      </c>
      <c r="E13" s="4" t="s">
        <v>20</v>
      </c>
      <c r="F13" s="59">
        <v>46074</v>
      </c>
      <c r="G13" s="59">
        <v>46078</v>
      </c>
      <c r="H13" s="31">
        <f>IF(F13=0,0,G13-F13)+1</f>
        <v>5</v>
      </c>
      <c r="I13" s="7" t="s">
        <v>59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48</v>
      </c>
      <c r="C14" s="10" t="s">
        <v>69</v>
      </c>
      <c r="D14" s="3" t="s">
        <v>16</v>
      </c>
      <c r="E14" s="4" t="s">
        <v>20</v>
      </c>
      <c r="F14" s="59">
        <v>46079</v>
      </c>
      <c r="G14" s="59">
        <v>46081</v>
      </c>
      <c r="H14" s="31">
        <f t="shared" ref="H14:H15" si="1">IF(F14=0,0,G14-F14)+1</f>
        <v>3</v>
      </c>
      <c r="I14" s="2" t="s">
        <v>49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23</v>
      </c>
      <c r="C15" s="10" t="s">
        <v>70</v>
      </c>
      <c r="D15" s="3" t="s">
        <v>16</v>
      </c>
      <c r="E15" s="4" t="s">
        <v>20</v>
      </c>
      <c r="F15" s="59">
        <v>46082</v>
      </c>
      <c r="G15" s="59">
        <v>46088</v>
      </c>
      <c r="H15" s="31">
        <f t="shared" si="1"/>
        <v>7</v>
      </c>
      <c r="I15" s="2" t="s">
        <v>50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6.25" customHeight="1" x14ac:dyDescent="0.25">
      <c r="A16" s="6"/>
      <c r="B16" s="42">
        <v>2</v>
      </c>
      <c r="C16" s="42" t="s">
        <v>3</v>
      </c>
      <c r="D16" s="43" t="s">
        <v>17</v>
      </c>
      <c r="E16" s="44" t="s">
        <v>20</v>
      </c>
      <c r="F16" s="60">
        <v>46089</v>
      </c>
      <c r="G16" s="61">
        <v>46106</v>
      </c>
      <c r="H16" s="45">
        <f>IF(F16=0,0,G16-F16)+1</f>
        <v>18</v>
      </c>
      <c r="I16" s="42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 t="s">
        <v>24</v>
      </c>
      <c r="C17" s="10" t="s">
        <v>71</v>
      </c>
      <c r="D17" s="3" t="s">
        <v>16</v>
      </c>
      <c r="E17" s="4" t="s">
        <v>20</v>
      </c>
      <c r="F17" s="59">
        <v>46089</v>
      </c>
      <c r="G17" s="59">
        <v>46090</v>
      </c>
      <c r="H17" s="32">
        <f t="shared" ref="H17:H64" si="2">IF(F17=0,0,G17-F17)+1</f>
        <v>2</v>
      </c>
      <c r="I17" s="2" t="s">
        <v>34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25</v>
      </c>
      <c r="C18" s="10" t="s">
        <v>72</v>
      </c>
      <c r="D18" s="3" t="s">
        <v>16</v>
      </c>
      <c r="E18" s="4" t="s">
        <v>20</v>
      </c>
      <c r="F18" s="59">
        <v>46091</v>
      </c>
      <c r="G18" s="59">
        <v>46092</v>
      </c>
      <c r="H18" s="32">
        <f t="shared" si="2"/>
        <v>2</v>
      </c>
      <c r="I18" s="2" t="s">
        <v>35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51</v>
      </c>
      <c r="C19" s="10" t="s">
        <v>73</v>
      </c>
      <c r="D19" s="3" t="s">
        <v>16</v>
      </c>
      <c r="E19" s="4" t="s">
        <v>20</v>
      </c>
      <c r="F19" s="59">
        <v>46093</v>
      </c>
      <c r="G19" s="59">
        <v>46093</v>
      </c>
      <c r="H19" s="32">
        <f t="shared" si="2"/>
        <v>1</v>
      </c>
      <c r="I19" s="2" t="s">
        <v>36</v>
      </c>
      <c r="J19" s="6"/>
      <c r="K19" s="1"/>
      <c r="L19" s="41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52</v>
      </c>
      <c r="C20" s="10" t="s">
        <v>74</v>
      </c>
      <c r="D20" s="3" t="s">
        <v>16</v>
      </c>
      <c r="E20" s="4" t="s">
        <v>20</v>
      </c>
      <c r="F20" s="59">
        <v>46094</v>
      </c>
      <c r="G20" s="62">
        <v>46095</v>
      </c>
      <c r="H20" s="32">
        <f t="shared" si="2"/>
        <v>2</v>
      </c>
      <c r="I20" s="2" t="s">
        <v>53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54</v>
      </c>
      <c r="C21" s="11" t="s">
        <v>75</v>
      </c>
      <c r="D21" s="3" t="s">
        <v>16</v>
      </c>
      <c r="E21" s="4" t="s">
        <v>20</v>
      </c>
      <c r="F21" s="63">
        <v>46096</v>
      </c>
      <c r="G21" s="64">
        <v>46098</v>
      </c>
      <c r="H21" s="32">
        <f t="shared" si="2"/>
        <v>3</v>
      </c>
      <c r="I21" s="2" t="s">
        <v>55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56</v>
      </c>
      <c r="C22" s="10" t="s">
        <v>76</v>
      </c>
      <c r="D22" s="3" t="s">
        <v>16</v>
      </c>
      <c r="E22" s="4" t="s">
        <v>20</v>
      </c>
      <c r="F22" s="59">
        <v>46099</v>
      </c>
      <c r="G22" s="59">
        <v>46106</v>
      </c>
      <c r="H22" s="32">
        <f t="shared" si="2"/>
        <v>8</v>
      </c>
      <c r="I22" s="2" t="s">
        <v>57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7" customHeight="1" x14ac:dyDescent="0.25">
      <c r="A23" s="6"/>
      <c r="B23" s="17">
        <v>3</v>
      </c>
      <c r="C23" s="17" t="s">
        <v>101</v>
      </c>
      <c r="D23" s="46" t="s">
        <v>17</v>
      </c>
      <c r="E23" s="19" t="s">
        <v>20</v>
      </c>
      <c r="F23" s="65">
        <v>46107</v>
      </c>
      <c r="G23" s="66">
        <v>46218</v>
      </c>
      <c r="H23" s="20">
        <f>IF(F23=0,0,G23-F23)+1</f>
        <v>112</v>
      </c>
      <c r="I23" s="15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26</v>
      </c>
      <c r="C24" s="10" t="s">
        <v>77</v>
      </c>
      <c r="D24" s="3" t="s">
        <v>16</v>
      </c>
      <c r="E24" s="4" t="s">
        <v>20</v>
      </c>
      <c r="F24" s="59">
        <v>46107</v>
      </c>
      <c r="G24" s="59">
        <v>46109</v>
      </c>
      <c r="H24" s="53">
        <f t="shared" si="2"/>
        <v>3</v>
      </c>
      <c r="I24" s="2"/>
      <c r="J24" s="6"/>
      <c r="K24" s="1"/>
      <c r="L24" s="41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27</v>
      </c>
      <c r="C25" s="10" t="s">
        <v>78</v>
      </c>
      <c r="D25" s="3" t="s">
        <v>16</v>
      </c>
      <c r="E25" s="4" t="s">
        <v>20</v>
      </c>
      <c r="F25" s="59">
        <v>46110</v>
      </c>
      <c r="G25" s="62">
        <v>46112</v>
      </c>
      <c r="H25" s="53">
        <f t="shared" si="2"/>
        <v>3</v>
      </c>
      <c r="I25" s="2" t="s">
        <v>37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thickBot="1" x14ac:dyDescent="0.3">
      <c r="A26" s="6"/>
      <c r="B26" s="12" t="s">
        <v>0</v>
      </c>
      <c r="C26" s="11" t="s">
        <v>79</v>
      </c>
      <c r="D26" s="3" t="s">
        <v>16</v>
      </c>
      <c r="E26" s="4" t="s">
        <v>20</v>
      </c>
      <c r="F26" s="63">
        <v>46113</v>
      </c>
      <c r="G26" s="64">
        <v>46114</v>
      </c>
      <c r="H26" s="53">
        <f t="shared" si="2"/>
        <v>2</v>
      </c>
      <c r="I26" s="2" t="s">
        <v>38</v>
      </c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 t="s">
        <v>1</v>
      </c>
      <c r="C27" s="10" t="s">
        <v>102</v>
      </c>
      <c r="D27" s="3" t="s">
        <v>16</v>
      </c>
      <c r="E27" s="4" t="s">
        <v>20</v>
      </c>
      <c r="F27" s="59">
        <v>46115</v>
      </c>
      <c r="G27" s="59">
        <v>46168</v>
      </c>
      <c r="H27" s="53">
        <f t="shared" si="2"/>
        <v>54</v>
      </c>
      <c r="I27" s="2" t="s">
        <v>40</v>
      </c>
      <c r="J27" s="6"/>
      <c r="K27" s="1"/>
      <c r="L27" s="41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 t="s">
        <v>80</v>
      </c>
      <c r="C28" s="10" t="s">
        <v>103</v>
      </c>
      <c r="D28" s="3" t="s">
        <v>16</v>
      </c>
      <c r="E28" s="4" t="s">
        <v>20</v>
      </c>
      <c r="F28" s="59">
        <v>46162</v>
      </c>
      <c r="G28" s="62">
        <v>46168</v>
      </c>
      <c r="H28" s="53">
        <f t="shared" si="2"/>
        <v>7</v>
      </c>
      <c r="I28" s="2" t="s">
        <v>39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thickBot="1" x14ac:dyDescent="0.3">
      <c r="A29" s="6"/>
      <c r="B29" s="12" t="s">
        <v>81</v>
      </c>
      <c r="C29" s="11" t="s">
        <v>104</v>
      </c>
      <c r="D29" s="3" t="s">
        <v>16</v>
      </c>
      <c r="E29" s="4" t="s">
        <v>20</v>
      </c>
      <c r="F29" s="63">
        <v>46162</v>
      </c>
      <c r="G29" s="64">
        <v>46168</v>
      </c>
      <c r="H29" s="53">
        <f t="shared" si="2"/>
        <v>7</v>
      </c>
      <c r="I29" s="2" t="s">
        <v>82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 t="s">
        <v>83</v>
      </c>
      <c r="C30" s="10" t="s">
        <v>105</v>
      </c>
      <c r="D30" s="3" t="s">
        <v>16</v>
      </c>
      <c r="E30" s="4" t="s">
        <v>20</v>
      </c>
      <c r="F30" s="59">
        <v>46162</v>
      </c>
      <c r="G30" s="59">
        <v>46168</v>
      </c>
      <c r="H30" s="53">
        <f t="shared" si="2"/>
        <v>7</v>
      </c>
      <c r="I30" s="2" t="s">
        <v>84</v>
      </c>
      <c r="J30" s="6"/>
      <c r="K30" s="1"/>
      <c r="L30" s="41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 t="s">
        <v>106</v>
      </c>
      <c r="C31" s="10" t="s">
        <v>139</v>
      </c>
      <c r="D31" s="3" t="s">
        <v>16</v>
      </c>
      <c r="E31" s="4" t="s">
        <v>20</v>
      </c>
      <c r="F31" s="59">
        <v>46169</v>
      </c>
      <c r="G31" s="59">
        <v>46171</v>
      </c>
      <c r="H31" s="53">
        <f t="shared" si="2"/>
        <v>3</v>
      </c>
      <c r="I31" s="2" t="s">
        <v>85</v>
      </c>
      <c r="J31" s="6"/>
      <c r="K31" s="1"/>
      <c r="L31" s="41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x14ac:dyDescent="0.25">
      <c r="A32" s="6"/>
      <c r="B32" s="2" t="s">
        <v>107</v>
      </c>
      <c r="C32" s="10" t="s">
        <v>192</v>
      </c>
      <c r="D32" s="3" t="s">
        <v>16</v>
      </c>
      <c r="E32" s="4" t="s">
        <v>20</v>
      </c>
      <c r="F32" s="59">
        <v>46172</v>
      </c>
      <c r="G32" s="62">
        <v>46172</v>
      </c>
      <c r="H32" s="53">
        <f t="shared" si="2"/>
        <v>1</v>
      </c>
      <c r="I32" s="2" t="s">
        <v>109</v>
      </c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outlineLevel="1" thickBot="1" x14ac:dyDescent="0.3">
      <c r="A33" s="6"/>
      <c r="B33" s="12" t="s">
        <v>108</v>
      </c>
      <c r="C33" s="11" t="s">
        <v>140</v>
      </c>
      <c r="D33" s="3" t="s">
        <v>17</v>
      </c>
      <c r="E33" s="4" t="s">
        <v>141</v>
      </c>
      <c r="F33" s="63">
        <v>46172</v>
      </c>
      <c r="G33" s="64">
        <v>46179</v>
      </c>
      <c r="H33" s="53">
        <f t="shared" si="2"/>
        <v>8</v>
      </c>
      <c r="I33" s="2" t="s">
        <v>110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thickBot="1" x14ac:dyDescent="0.3">
      <c r="A34" s="6"/>
      <c r="B34" s="12" t="s">
        <v>143</v>
      </c>
      <c r="C34" s="11" t="s">
        <v>142</v>
      </c>
      <c r="D34" s="3" t="s">
        <v>17</v>
      </c>
      <c r="E34" s="4" t="s">
        <v>141</v>
      </c>
      <c r="F34" s="63">
        <v>46172</v>
      </c>
      <c r="G34" s="64">
        <v>46179</v>
      </c>
      <c r="H34" s="53">
        <f t="shared" si="2"/>
        <v>8</v>
      </c>
      <c r="I34" s="2" t="s">
        <v>110</v>
      </c>
      <c r="J34" s="6"/>
      <c r="K34" s="1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thickBot="1" x14ac:dyDescent="0.3">
      <c r="A35" s="6"/>
      <c r="B35" s="12" t="s">
        <v>145</v>
      </c>
      <c r="C35" s="11" t="s">
        <v>144</v>
      </c>
      <c r="D35" s="3" t="s">
        <v>16</v>
      </c>
      <c r="E35" s="4" t="s">
        <v>20</v>
      </c>
      <c r="F35" s="63">
        <v>46169</v>
      </c>
      <c r="G35" s="64">
        <v>46172</v>
      </c>
      <c r="H35" s="53">
        <f t="shared" si="2"/>
        <v>4</v>
      </c>
      <c r="I35" s="2" t="s">
        <v>85</v>
      </c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thickBot="1" x14ac:dyDescent="0.3">
      <c r="A36" s="6"/>
      <c r="B36" s="12" t="s">
        <v>148</v>
      </c>
      <c r="C36" s="11" t="s">
        <v>146</v>
      </c>
      <c r="D36" s="3" t="s">
        <v>16</v>
      </c>
      <c r="E36" s="4" t="s">
        <v>20</v>
      </c>
      <c r="F36" s="63">
        <v>46173</v>
      </c>
      <c r="G36" s="64">
        <v>46176</v>
      </c>
      <c r="H36" s="53">
        <f t="shared" si="2"/>
        <v>4</v>
      </c>
      <c r="I36" s="2" t="s">
        <v>150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4.95" customHeight="1" outlineLevel="1" thickBot="1" x14ac:dyDescent="0.3">
      <c r="A37" s="6"/>
      <c r="B37" s="12" t="s">
        <v>151</v>
      </c>
      <c r="C37" s="11" t="s">
        <v>149</v>
      </c>
      <c r="D37" s="3" t="s">
        <v>58</v>
      </c>
      <c r="E37" s="4" t="s">
        <v>20</v>
      </c>
      <c r="F37" s="63">
        <v>46177</v>
      </c>
      <c r="G37" s="64">
        <v>46180</v>
      </c>
      <c r="H37" s="53">
        <f t="shared" si="2"/>
        <v>4</v>
      </c>
      <c r="I37" s="2" t="s">
        <v>153</v>
      </c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 thickBot="1" x14ac:dyDescent="0.3">
      <c r="A38" s="6"/>
      <c r="B38" s="12" t="s">
        <v>154</v>
      </c>
      <c r="C38" s="11" t="s">
        <v>152</v>
      </c>
      <c r="D38" s="3" t="s">
        <v>58</v>
      </c>
      <c r="E38" s="4" t="s">
        <v>20</v>
      </c>
      <c r="F38" s="63">
        <v>46181</v>
      </c>
      <c r="G38" s="64">
        <v>46184</v>
      </c>
      <c r="H38" s="53">
        <f t="shared" si="2"/>
        <v>4</v>
      </c>
      <c r="I38" s="2" t="s">
        <v>156</v>
      </c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s="7" customFormat="1" ht="24.95" customHeight="1" outlineLevel="1" thickBot="1" x14ac:dyDescent="0.3">
      <c r="A39" s="6"/>
      <c r="B39" s="12" t="s">
        <v>157</v>
      </c>
      <c r="C39" s="11" t="s">
        <v>155</v>
      </c>
      <c r="D39" s="3" t="s">
        <v>58</v>
      </c>
      <c r="E39" s="4" t="s">
        <v>20</v>
      </c>
      <c r="F39" s="63">
        <v>46185</v>
      </c>
      <c r="G39" s="64">
        <v>46188</v>
      </c>
      <c r="H39" s="53">
        <f t="shared" si="2"/>
        <v>4</v>
      </c>
      <c r="I39" s="2" t="s">
        <v>159</v>
      </c>
      <c r="J39" s="6"/>
      <c r="K39" s="1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</row>
    <row r="40" spans="1:258" s="7" customFormat="1" ht="24.95" customHeight="1" outlineLevel="1" thickBot="1" x14ac:dyDescent="0.3">
      <c r="A40" s="6"/>
      <c r="B40" s="12" t="s">
        <v>160</v>
      </c>
      <c r="C40" s="11" t="s">
        <v>158</v>
      </c>
      <c r="D40" s="3" t="s">
        <v>58</v>
      </c>
      <c r="E40" s="4" t="s">
        <v>20</v>
      </c>
      <c r="F40" s="63">
        <v>46189</v>
      </c>
      <c r="G40" s="64">
        <v>46192</v>
      </c>
      <c r="H40" s="53">
        <f t="shared" si="2"/>
        <v>4</v>
      </c>
      <c r="I40" s="2" t="s">
        <v>162</v>
      </c>
      <c r="J40" s="6"/>
      <c r="K40" s="1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</row>
    <row r="41" spans="1:258" s="7" customFormat="1" ht="24.95" customHeight="1" outlineLevel="1" thickBot="1" x14ac:dyDescent="0.3">
      <c r="A41" s="6"/>
      <c r="B41" s="12" t="s">
        <v>163</v>
      </c>
      <c r="C41" s="11" t="s">
        <v>161</v>
      </c>
      <c r="D41" s="3" t="s">
        <v>58</v>
      </c>
      <c r="E41" s="4" t="s">
        <v>20</v>
      </c>
      <c r="F41" s="63">
        <v>46193</v>
      </c>
      <c r="G41" s="64">
        <v>46196</v>
      </c>
      <c r="H41" s="53">
        <f t="shared" si="2"/>
        <v>4</v>
      </c>
      <c r="I41" s="2" t="s">
        <v>165</v>
      </c>
      <c r="J41" s="6"/>
      <c r="K41" s="1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</row>
    <row r="42" spans="1:258" s="7" customFormat="1" ht="24.95" customHeight="1" outlineLevel="1" thickBot="1" x14ac:dyDescent="0.3">
      <c r="A42" s="6"/>
      <c r="B42" s="12" t="s">
        <v>166</v>
      </c>
      <c r="C42" s="11" t="s">
        <v>164</v>
      </c>
      <c r="D42" s="3" t="s">
        <v>58</v>
      </c>
      <c r="E42" s="4" t="s">
        <v>20</v>
      </c>
      <c r="F42" s="63">
        <v>46197</v>
      </c>
      <c r="G42" s="64">
        <v>46200</v>
      </c>
      <c r="H42" s="53">
        <f t="shared" si="2"/>
        <v>4</v>
      </c>
      <c r="I42" s="2" t="s">
        <v>168</v>
      </c>
      <c r="J42" s="6"/>
      <c r="K42" s="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</row>
    <row r="43" spans="1:258" s="7" customFormat="1" ht="24.95" customHeight="1" outlineLevel="1" thickBot="1" x14ac:dyDescent="0.3">
      <c r="A43" s="6"/>
      <c r="B43" s="12" t="s">
        <v>169</v>
      </c>
      <c r="C43" s="11" t="s">
        <v>167</v>
      </c>
      <c r="D43" s="3" t="s">
        <v>17</v>
      </c>
      <c r="E43" s="4" t="s">
        <v>20</v>
      </c>
      <c r="F43" s="63">
        <v>46201</v>
      </c>
      <c r="G43" s="64">
        <v>46202</v>
      </c>
      <c r="H43" s="53">
        <f t="shared" si="2"/>
        <v>2</v>
      </c>
      <c r="I43" s="2" t="s">
        <v>171</v>
      </c>
      <c r="J43" s="6"/>
      <c r="K43" s="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</row>
    <row r="44" spans="1:258" s="7" customFormat="1" ht="24.95" customHeight="1" outlineLevel="1" thickBot="1" x14ac:dyDescent="0.3">
      <c r="A44" s="6"/>
      <c r="B44" s="12" t="s">
        <v>172</v>
      </c>
      <c r="C44" s="11" t="s">
        <v>170</v>
      </c>
      <c r="D44" s="3" t="s">
        <v>17</v>
      </c>
      <c r="E44" s="4" t="s">
        <v>20</v>
      </c>
      <c r="F44" s="63">
        <v>46203</v>
      </c>
      <c r="G44" s="64">
        <v>46204</v>
      </c>
      <c r="H44" s="53">
        <f t="shared" si="2"/>
        <v>2</v>
      </c>
      <c r="I44" s="2" t="s">
        <v>190</v>
      </c>
      <c r="J44" s="6"/>
      <c r="K44" s="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</row>
    <row r="45" spans="1:258" s="7" customFormat="1" ht="24.95" customHeight="1" outlineLevel="1" thickBot="1" x14ac:dyDescent="0.3">
      <c r="A45" s="6"/>
      <c r="B45" s="12" t="s">
        <v>174</v>
      </c>
      <c r="C45" s="11" t="s">
        <v>193</v>
      </c>
      <c r="D45" s="3" t="s">
        <v>17</v>
      </c>
      <c r="E45" s="4" t="s">
        <v>20</v>
      </c>
      <c r="F45" s="63">
        <v>46180</v>
      </c>
      <c r="G45" s="64">
        <v>46182</v>
      </c>
      <c r="H45" s="53">
        <f t="shared" si="2"/>
        <v>3</v>
      </c>
      <c r="I45" s="2" t="s">
        <v>147</v>
      </c>
      <c r="J45" s="6"/>
      <c r="K45" s="1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</row>
    <row r="46" spans="1:258" s="7" customFormat="1" ht="24.95" customHeight="1" outlineLevel="1" thickBot="1" x14ac:dyDescent="0.3">
      <c r="A46" s="6"/>
      <c r="B46" s="12" t="s">
        <v>177</v>
      </c>
      <c r="C46" s="11" t="s">
        <v>173</v>
      </c>
      <c r="D46" s="3" t="s">
        <v>58</v>
      </c>
      <c r="E46" s="4" t="s">
        <v>141</v>
      </c>
      <c r="F46" s="63">
        <v>46183</v>
      </c>
      <c r="G46" s="64">
        <v>46189</v>
      </c>
      <c r="H46" s="53">
        <f t="shared" si="2"/>
        <v>7</v>
      </c>
      <c r="I46" s="2" t="s">
        <v>179</v>
      </c>
      <c r="J46" s="6"/>
      <c r="K46" s="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</row>
    <row r="47" spans="1:258" s="7" customFormat="1" ht="24.95" customHeight="1" outlineLevel="1" thickBot="1" x14ac:dyDescent="0.3">
      <c r="A47" s="6"/>
      <c r="B47" s="12" t="s">
        <v>180</v>
      </c>
      <c r="C47" s="11" t="s">
        <v>189</v>
      </c>
      <c r="D47" s="3" t="s">
        <v>58</v>
      </c>
      <c r="E47" s="4" t="s">
        <v>20</v>
      </c>
      <c r="F47" s="63">
        <v>46190</v>
      </c>
      <c r="G47" s="64">
        <v>46192</v>
      </c>
      <c r="H47" s="53">
        <f t="shared" si="2"/>
        <v>3</v>
      </c>
      <c r="I47" s="2" t="s">
        <v>182</v>
      </c>
      <c r="J47" s="6"/>
      <c r="K47" s="1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</row>
    <row r="48" spans="1:258" s="7" customFormat="1" ht="24.95" customHeight="1" outlineLevel="1" thickBot="1" x14ac:dyDescent="0.3">
      <c r="A48" s="6"/>
      <c r="B48" s="12" t="s">
        <v>183</v>
      </c>
      <c r="C48" s="11" t="s">
        <v>175</v>
      </c>
      <c r="D48" s="3" t="s">
        <v>58</v>
      </c>
      <c r="E48" s="4" t="s">
        <v>20</v>
      </c>
      <c r="F48" s="63">
        <v>46193</v>
      </c>
      <c r="G48" s="64">
        <v>46194</v>
      </c>
      <c r="H48" s="53">
        <f t="shared" si="2"/>
        <v>2</v>
      </c>
      <c r="I48" s="2" t="s">
        <v>185</v>
      </c>
      <c r="J48" s="6"/>
      <c r="K48" s="1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</row>
    <row r="49" spans="1:258" s="7" customFormat="1" ht="24.95" customHeight="1" outlineLevel="1" thickBot="1" x14ac:dyDescent="0.3">
      <c r="A49" s="6"/>
      <c r="B49" s="12" t="s">
        <v>186</v>
      </c>
      <c r="C49" s="11" t="s">
        <v>194</v>
      </c>
      <c r="D49" s="3" t="s">
        <v>58</v>
      </c>
      <c r="E49" s="4" t="s">
        <v>20</v>
      </c>
      <c r="F49" s="63">
        <v>46195</v>
      </c>
      <c r="G49" s="64">
        <v>46196</v>
      </c>
      <c r="H49" s="53">
        <f t="shared" si="2"/>
        <v>2</v>
      </c>
      <c r="I49" s="2" t="s">
        <v>188</v>
      </c>
      <c r="J49" s="6"/>
      <c r="K49" s="1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</row>
    <row r="50" spans="1:258" s="7" customFormat="1" ht="24.95" customHeight="1" outlineLevel="1" thickBot="1" x14ac:dyDescent="0.3">
      <c r="A50" s="6"/>
      <c r="B50" s="12" t="s">
        <v>191</v>
      </c>
      <c r="C50" s="11" t="s">
        <v>178</v>
      </c>
      <c r="D50" s="3" t="s">
        <v>58</v>
      </c>
      <c r="E50" s="4" t="s">
        <v>20</v>
      </c>
      <c r="F50" s="63">
        <v>46205</v>
      </c>
      <c r="G50" s="64">
        <v>46207</v>
      </c>
      <c r="H50" s="53">
        <f t="shared" si="2"/>
        <v>3</v>
      </c>
      <c r="I50" s="2" t="s">
        <v>176</v>
      </c>
      <c r="J50" s="6"/>
      <c r="K50" s="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</row>
    <row r="51" spans="1:258" s="7" customFormat="1" ht="24.95" customHeight="1" outlineLevel="1" thickBot="1" x14ac:dyDescent="0.3">
      <c r="A51" s="6"/>
      <c r="B51" s="12" t="s">
        <v>195</v>
      </c>
      <c r="C51" s="11" t="s">
        <v>181</v>
      </c>
      <c r="D51" s="3" t="s">
        <v>58</v>
      </c>
      <c r="E51" s="4" t="s">
        <v>20</v>
      </c>
      <c r="F51" s="63">
        <v>46208</v>
      </c>
      <c r="G51" s="64">
        <v>46211</v>
      </c>
      <c r="H51" s="53">
        <f t="shared" si="2"/>
        <v>4</v>
      </c>
      <c r="I51" s="2" t="s">
        <v>196</v>
      </c>
      <c r="J51" s="6"/>
      <c r="K51" s="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</row>
    <row r="52" spans="1:258" s="7" customFormat="1" ht="24.95" customHeight="1" outlineLevel="1" thickBot="1" x14ac:dyDescent="0.3">
      <c r="A52" s="6"/>
      <c r="B52" s="12" t="s">
        <v>197</v>
      </c>
      <c r="C52" s="11" t="s">
        <v>184</v>
      </c>
      <c r="D52" s="3" t="s">
        <v>58</v>
      </c>
      <c r="E52" s="4" t="s">
        <v>20</v>
      </c>
      <c r="F52" s="63">
        <v>46212</v>
      </c>
      <c r="G52" s="64">
        <v>46214</v>
      </c>
      <c r="H52" s="53">
        <f t="shared" si="2"/>
        <v>3</v>
      </c>
      <c r="I52" s="2" t="s">
        <v>198</v>
      </c>
      <c r="J52" s="6"/>
      <c r="K52" s="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</row>
    <row r="53" spans="1:258" s="7" customFormat="1" ht="24.95" customHeight="1" outlineLevel="1" thickBot="1" x14ac:dyDescent="0.3">
      <c r="A53" s="6"/>
      <c r="B53" s="12" t="s">
        <v>199</v>
      </c>
      <c r="C53" s="11" t="s">
        <v>187</v>
      </c>
      <c r="D53" s="3" t="s">
        <v>58</v>
      </c>
      <c r="E53" s="4" t="s">
        <v>20</v>
      </c>
      <c r="F53" s="63">
        <v>46215</v>
      </c>
      <c r="G53" s="64">
        <v>46218</v>
      </c>
      <c r="H53" s="53">
        <f t="shared" si="2"/>
        <v>4</v>
      </c>
      <c r="I53" s="2" t="s">
        <v>200</v>
      </c>
      <c r="J53" s="6"/>
      <c r="K53" s="1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</row>
    <row r="54" spans="1:258" s="7" customFormat="1" ht="24.95" customHeight="1" outlineLevel="1" x14ac:dyDescent="0.25">
      <c r="A54" s="6"/>
      <c r="B54" s="48">
        <v>4</v>
      </c>
      <c r="C54" s="48" t="s">
        <v>111</v>
      </c>
      <c r="D54" s="49" t="s">
        <v>17</v>
      </c>
      <c r="E54" s="50" t="s">
        <v>20</v>
      </c>
      <c r="F54" s="67">
        <v>46133</v>
      </c>
      <c r="G54" s="68">
        <v>46225</v>
      </c>
      <c r="H54" s="51">
        <f>IF(F54=0,0,G54-F54)+1</f>
        <v>93</v>
      </c>
      <c r="I54" s="52"/>
      <c r="J54" s="6"/>
      <c r="K54" s="1"/>
      <c r="L54" s="41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</row>
    <row r="55" spans="1:258" s="7" customFormat="1" ht="24.95" customHeight="1" outlineLevel="1" x14ac:dyDescent="0.25">
      <c r="A55" s="6"/>
      <c r="B55" s="2" t="s">
        <v>28</v>
      </c>
      <c r="C55" s="10" t="s">
        <v>86</v>
      </c>
      <c r="D55" s="3" t="s">
        <v>16</v>
      </c>
      <c r="E55" s="4" t="s">
        <v>20</v>
      </c>
      <c r="F55" s="59">
        <v>46133</v>
      </c>
      <c r="G55" s="62">
        <v>46134</v>
      </c>
      <c r="H55" s="54">
        <f t="shared" si="2"/>
        <v>2</v>
      </c>
      <c r="I55" s="2"/>
      <c r="J55" s="6"/>
      <c r="K55" s="1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</row>
    <row r="56" spans="1:258" s="7" customFormat="1" ht="24.95" customHeight="1" outlineLevel="1" x14ac:dyDescent="0.25">
      <c r="A56" s="6"/>
      <c r="B56" s="2" t="s">
        <v>29</v>
      </c>
      <c r="C56" s="10" t="s">
        <v>87</v>
      </c>
      <c r="D56" s="3" t="s">
        <v>16</v>
      </c>
      <c r="E56" s="4" t="s">
        <v>20</v>
      </c>
      <c r="F56" s="59">
        <v>46135</v>
      </c>
      <c r="G56" s="62">
        <v>46147</v>
      </c>
      <c r="H56" s="54">
        <f t="shared" si="2"/>
        <v>13</v>
      </c>
      <c r="I56" s="2" t="s">
        <v>41</v>
      </c>
      <c r="J56" s="6"/>
      <c r="K56" s="1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</row>
    <row r="57" spans="1:258" s="7" customFormat="1" ht="27" customHeight="1" x14ac:dyDescent="0.25">
      <c r="A57" s="6"/>
      <c r="B57" s="2" t="s">
        <v>60</v>
      </c>
      <c r="C57" s="10" t="s">
        <v>112</v>
      </c>
      <c r="D57" s="3" t="s">
        <v>16</v>
      </c>
      <c r="E57" s="4" t="s">
        <v>20</v>
      </c>
      <c r="F57" s="59">
        <v>46148</v>
      </c>
      <c r="G57" s="62">
        <v>46152</v>
      </c>
      <c r="H57" s="54">
        <f t="shared" si="2"/>
        <v>5</v>
      </c>
      <c r="I57" s="2" t="s">
        <v>61</v>
      </c>
      <c r="J57" s="6"/>
      <c r="K57" s="1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</row>
    <row r="58" spans="1:258" s="7" customFormat="1" ht="24.95" customHeight="1" outlineLevel="1" thickBot="1" x14ac:dyDescent="0.3">
      <c r="A58" s="6"/>
      <c r="B58" s="12" t="s">
        <v>62</v>
      </c>
      <c r="C58" s="11" t="s">
        <v>113</v>
      </c>
      <c r="D58" s="3" t="s">
        <v>16</v>
      </c>
      <c r="E58" s="4" t="s">
        <v>20</v>
      </c>
      <c r="F58" s="63">
        <v>46153</v>
      </c>
      <c r="G58" s="64">
        <v>46157</v>
      </c>
      <c r="H58" s="54">
        <f t="shared" si="2"/>
        <v>5</v>
      </c>
      <c r="I58" s="2" t="s">
        <v>63</v>
      </c>
      <c r="J58" s="6"/>
      <c r="K58" s="1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</row>
    <row r="59" spans="1:258" s="7" customFormat="1" ht="24.95" customHeight="1" outlineLevel="1" x14ac:dyDescent="0.25">
      <c r="A59" s="6"/>
      <c r="B59" s="2" t="s">
        <v>88</v>
      </c>
      <c r="C59" s="10" t="s">
        <v>114</v>
      </c>
      <c r="D59" s="3" t="s">
        <v>17</v>
      </c>
      <c r="E59" s="4" t="s">
        <v>20</v>
      </c>
      <c r="F59" s="59">
        <v>46158</v>
      </c>
      <c r="G59" s="62">
        <v>46162</v>
      </c>
      <c r="H59" s="54">
        <f t="shared" si="2"/>
        <v>5</v>
      </c>
      <c r="I59" s="2" t="s">
        <v>89</v>
      </c>
      <c r="J59" s="6"/>
      <c r="K59" s="1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</row>
    <row r="60" spans="1:258" s="7" customFormat="1" ht="33.75" outlineLevel="1" thickBot="1" x14ac:dyDescent="0.3">
      <c r="A60" s="6"/>
      <c r="B60" s="12" t="s">
        <v>90</v>
      </c>
      <c r="C60" s="11" t="s">
        <v>115</v>
      </c>
      <c r="D60" s="3" t="s">
        <v>17</v>
      </c>
      <c r="E60" s="4" t="s">
        <v>20</v>
      </c>
      <c r="F60" s="63">
        <v>46163</v>
      </c>
      <c r="G60" s="64">
        <v>46166</v>
      </c>
      <c r="H60" s="54">
        <f t="shared" si="2"/>
        <v>4</v>
      </c>
      <c r="I60" s="2" t="s">
        <v>91</v>
      </c>
      <c r="J60" s="6"/>
      <c r="K60" s="1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</row>
    <row r="61" spans="1:258" s="7" customFormat="1" ht="24.95" customHeight="1" outlineLevel="1" x14ac:dyDescent="0.25">
      <c r="A61" s="6"/>
      <c r="B61" s="2" t="s">
        <v>92</v>
      </c>
      <c r="C61" s="10" t="s">
        <v>201</v>
      </c>
      <c r="D61" s="3" t="s">
        <v>58</v>
      </c>
      <c r="E61" s="4" t="s">
        <v>20</v>
      </c>
      <c r="F61" s="59">
        <v>46219</v>
      </c>
      <c r="G61" s="62">
        <v>46221</v>
      </c>
      <c r="H61" s="54">
        <f t="shared" si="2"/>
        <v>3</v>
      </c>
      <c r="I61" s="2" t="s">
        <v>202</v>
      </c>
      <c r="J61" s="6"/>
      <c r="K61" s="1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</row>
    <row r="62" spans="1:258" s="7" customFormat="1" ht="24.95" customHeight="1" outlineLevel="1" x14ac:dyDescent="0.25">
      <c r="A62" s="6"/>
      <c r="B62" s="2" t="s">
        <v>117</v>
      </c>
      <c r="C62" s="10" t="s">
        <v>116</v>
      </c>
      <c r="D62" s="3" t="s">
        <v>58</v>
      </c>
      <c r="E62" s="4" t="s">
        <v>20</v>
      </c>
      <c r="F62" s="59">
        <v>46222</v>
      </c>
      <c r="G62" s="62">
        <v>46223</v>
      </c>
      <c r="H62" s="54">
        <f t="shared" si="2"/>
        <v>2</v>
      </c>
      <c r="I62" s="2" t="s">
        <v>94</v>
      </c>
      <c r="J62" s="6"/>
      <c r="K62" s="1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</row>
    <row r="63" spans="1:258" s="7" customFormat="1" ht="24.95" customHeight="1" outlineLevel="1" x14ac:dyDescent="0.25">
      <c r="A63" s="6"/>
      <c r="B63" s="2" t="s">
        <v>203</v>
      </c>
      <c r="C63" s="10" t="s">
        <v>204</v>
      </c>
      <c r="D63" s="3" t="s">
        <v>58</v>
      </c>
      <c r="E63" s="4" t="s">
        <v>20</v>
      </c>
      <c r="F63" s="59">
        <v>46224</v>
      </c>
      <c r="G63" s="62">
        <v>46224</v>
      </c>
      <c r="H63" s="54">
        <f t="shared" si="2"/>
        <v>1</v>
      </c>
      <c r="I63" s="2" t="s">
        <v>205</v>
      </c>
      <c r="J63" s="6"/>
      <c r="K63" s="1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</row>
    <row r="64" spans="1:258" s="7" customFormat="1" ht="24.95" customHeight="1" outlineLevel="1" x14ac:dyDescent="0.25">
      <c r="A64" s="6"/>
      <c r="B64" s="2" t="s">
        <v>206</v>
      </c>
      <c r="C64" s="10" t="s">
        <v>100</v>
      </c>
      <c r="D64" s="3" t="s">
        <v>58</v>
      </c>
      <c r="E64" s="4" t="s">
        <v>20</v>
      </c>
      <c r="F64" s="59">
        <v>46225</v>
      </c>
      <c r="G64" s="62">
        <v>46225</v>
      </c>
      <c r="H64" s="54">
        <f t="shared" si="2"/>
        <v>1</v>
      </c>
      <c r="I64" s="2" t="s">
        <v>207</v>
      </c>
      <c r="J64" s="6"/>
      <c r="K64" s="1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</row>
    <row r="65" spans="1:258" s="7" customFormat="1" ht="24.95" customHeight="1" outlineLevel="1" x14ac:dyDescent="0.25">
      <c r="A65" s="6"/>
      <c r="B65" s="18">
        <v>5</v>
      </c>
      <c r="C65" s="18" t="s">
        <v>118</v>
      </c>
      <c r="D65" s="47" t="s">
        <v>18</v>
      </c>
      <c r="E65" s="21" t="s">
        <v>20</v>
      </c>
      <c r="F65" s="69">
        <v>46226</v>
      </c>
      <c r="G65" s="70">
        <v>46230</v>
      </c>
      <c r="H65" s="22">
        <f>IF(F65=0,0,G65-F65)+1</f>
        <v>5</v>
      </c>
      <c r="I65" s="16"/>
      <c r="J65" s="6"/>
      <c r="K65" s="1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</row>
    <row r="66" spans="1:258" s="7" customFormat="1" ht="24.95" customHeight="1" outlineLevel="1" x14ac:dyDescent="0.25">
      <c r="A66" s="6"/>
      <c r="B66" s="2" t="s">
        <v>93</v>
      </c>
      <c r="C66" s="10" t="s">
        <v>119</v>
      </c>
      <c r="D66" s="3" t="s">
        <v>58</v>
      </c>
      <c r="E66" s="4" t="s">
        <v>20</v>
      </c>
      <c r="F66" s="59">
        <v>46226</v>
      </c>
      <c r="G66" s="62">
        <v>46227</v>
      </c>
      <c r="H66" s="84">
        <f>IF(F66=0,0,G66-F66)+1</f>
        <v>2</v>
      </c>
      <c r="I66" s="2" t="s">
        <v>208</v>
      </c>
      <c r="J66" s="6"/>
      <c r="K66" s="1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</row>
    <row r="67" spans="1:258" s="7" customFormat="1" ht="36" customHeight="1" x14ac:dyDescent="0.25">
      <c r="A67" s="6"/>
      <c r="B67" s="2" t="s">
        <v>95</v>
      </c>
      <c r="C67" s="10" t="s">
        <v>120</v>
      </c>
      <c r="D67" s="3" t="s">
        <v>58</v>
      </c>
      <c r="E67" s="4" t="s">
        <v>20</v>
      </c>
      <c r="F67" s="59">
        <v>46228</v>
      </c>
      <c r="G67" s="62">
        <v>46228</v>
      </c>
      <c r="H67" s="84">
        <f t="shared" ref="H67:H68" si="3">IF(F67=0,0,G67-F67)+1</f>
        <v>1</v>
      </c>
      <c r="I67" s="2" t="s">
        <v>96</v>
      </c>
      <c r="J67" s="6"/>
      <c r="K67" s="1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</row>
    <row r="68" spans="1:258" s="7" customFormat="1" ht="24.95" customHeight="1" outlineLevel="1" x14ac:dyDescent="0.25">
      <c r="A68" s="6"/>
      <c r="B68" s="2" t="s">
        <v>97</v>
      </c>
      <c r="C68" s="10" t="s">
        <v>121</v>
      </c>
      <c r="D68" s="3" t="s">
        <v>58</v>
      </c>
      <c r="E68" s="4" t="s">
        <v>20</v>
      </c>
      <c r="F68" s="59">
        <v>46229</v>
      </c>
      <c r="G68" s="62">
        <v>46230</v>
      </c>
      <c r="H68" s="84">
        <f t="shared" si="3"/>
        <v>2</v>
      </c>
      <c r="I68" s="2" t="s">
        <v>98</v>
      </c>
      <c r="J68" s="6"/>
      <c r="K68" s="1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</row>
    <row r="69" spans="1:258" s="7" customFormat="1" ht="24.95" customHeight="1" outlineLevel="1" x14ac:dyDescent="0.25">
      <c r="A69" s="6"/>
      <c r="B69" s="73">
        <v>6</v>
      </c>
      <c r="C69" s="73" t="s">
        <v>122</v>
      </c>
      <c r="D69" s="74" t="s">
        <v>58</v>
      </c>
      <c r="E69" s="75" t="s">
        <v>20</v>
      </c>
      <c r="F69" s="76">
        <v>46231</v>
      </c>
      <c r="G69" s="77">
        <v>46295</v>
      </c>
      <c r="H69" s="78">
        <f>IF(F69=0,0,G69-F69)+1</f>
        <v>65</v>
      </c>
      <c r="I69" s="79"/>
      <c r="J69" s="6"/>
      <c r="K69" s="1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</row>
    <row r="70" spans="1:258" s="7" customFormat="1" ht="24.95" customHeight="1" outlineLevel="1" x14ac:dyDescent="0.25">
      <c r="A70" s="6"/>
      <c r="B70" s="2" t="s">
        <v>123</v>
      </c>
      <c r="C70" s="10" t="s">
        <v>124</v>
      </c>
      <c r="D70" s="3" t="s">
        <v>58</v>
      </c>
      <c r="E70" s="4" t="s">
        <v>20</v>
      </c>
      <c r="F70" s="59">
        <v>46231</v>
      </c>
      <c r="G70" s="62">
        <v>46235</v>
      </c>
      <c r="H70" s="84">
        <f>IF(F70=0,0,G70-F70)+1</f>
        <v>5</v>
      </c>
      <c r="I70" s="2" t="s">
        <v>99</v>
      </c>
      <c r="J70" s="6"/>
      <c r="K70" s="1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6"/>
      <c r="DG70" s="6"/>
      <c r="DH70" s="6"/>
      <c r="DI70" s="6"/>
      <c r="DJ70" s="6"/>
      <c r="DK70" s="6"/>
      <c r="DL70" s="6"/>
      <c r="DM70" s="6"/>
      <c r="DN70" s="6"/>
      <c r="DO70" s="6"/>
      <c r="DP70" s="6"/>
      <c r="DQ70" s="6"/>
      <c r="DR70" s="6"/>
      <c r="DS70" s="6"/>
      <c r="DT70" s="6"/>
      <c r="DU70" s="6"/>
      <c r="DV70" s="6"/>
      <c r="DW70" s="6"/>
      <c r="DX70" s="6"/>
      <c r="DY70" s="6"/>
      <c r="DZ70" s="6"/>
      <c r="EA70" s="6"/>
      <c r="EB70" s="6"/>
      <c r="EC70" s="6"/>
      <c r="ED70" s="6"/>
      <c r="EE70" s="6"/>
      <c r="EF70" s="6"/>
      <c r="EG70" s="6"/>
      <c r="EH70" s="6"/>
      <c r="EI70" s="6"/>
      <c r="EJ70" s="6"/>
      <c r="EK70" s="6"/>
      <c r="EL70" s="6"/>
      <c r="EM70" s="6"/>
      <c r="EN70" s="6"/>
      <c r="EO70" s="6"/>
      <c r="EP70" s="6"/>
      <c r="EQ70" s="6"/>
      <c r="ER70" s="6"/>
      <c r="ES70" s="6"/>
      <c r="ET70" s="6"/>
      <c r="EU70" s="6"/>
      <c r="EV70" s="6"/>
      <c r="EW70" s="6"/>
      <c r="EX70" s="6"/>
      <c r="EY70" s="6"/>
      <c r="EZ70" s="6"/>
      <c r="FA70" s="6"/>
      <c r="FB70" s="6"/>
      <c r="FC70" s="6"/>
      <c r="FD70" s="6"/>
      <c r="FE70" s="6"/>
      <c r="FF70" s="6"/>
      <c r="FG70" s="6"/>
      <c r="FH70" s="6"/>
      <c r="FI70" s="6"/>
      <c r="FJ70" s="6"/>
      <c r="FK70" s="6"/>
      <c r="FL70" s="6"/>
      <c r="FM70" s="6"/>
      <c r="FN70" s="6"/>
      <c r="FO70" s="6"/>
      <c r="FP70" s="6"/>
      <c r="FQ70" s="6"/>
      <c r="FR70" s="6"/>
      <c r="FS70" s="6"/>
      <c r="FT70" s="6"/>
      <c r="FU70" s="6"/>
      <c r="FV70" s="6"/>
      <c r="FW70" s="6"/>
      <c r="FX70" s="6"/>
      <c r="FY70" s="6"/>
      <c r="FZ70" s="6"/>
      <c r="GA70" s="6"/>
      <c r="GB70" s="6"/>
      <c r="GC70" s="6"/>
      <c r="GD70" s="6"/>
      <c r="GE70" s="6"/>
      <c r="GF70" s="6"/>
      <c r="GG70" s="6"/>
      <c r="GH70" s="6"/>
      <c r="GI70" s="6"/>
      <c r="GJ70" s="6"/>
      <c r="GK70" s="6"/>
      <c r="GL70" s="6"/>
      <c r="GM70" s="6"/>
      <c r="GN70" s="6"/>
      <c r="GO70" s="6"/>
      <c r="GP70" s="6"/>
      <c r="GQ70" s="6"/>
      <c r="GR70" s="6"/>
      <c r="GS70" s="6"/>
      <c r="GT70" s="6"/>
      <c r="GU70" s="6"/>
      <c r="GV70" s="6"/>
      <c r="GW70" s="6"/>
      <c r="GX70" s="6"/>
      <c r="GY70" s="6"/>
      <c r="GZ70" s="6"/>
      <c r="HA70" s="6"/>
      <c r="HB70" s="6"/>
      <c r="HC70" s="6"/>
      <c r="HD70" s="6"/>
      <c r="HE70" s="6"/>
      <c r="HF70" s="6"/>
      <c r="HG70" s="6"/>
      <c r="HH70" s="6"/>
      <c r="HI70" s="6"/>
      <c r="HJ70" s="6"/>
      <c r="HK70" s="6"/>
      <c r="HL70" s="6"/>
      <c r="HM70" s="6"/>
      <c r="HN70" s="6"/>
      <c r="HO70" s="6"/>
      <c r="HP70" s="6"/>
      <c r="HQ70" s="6"/>
      <c r="HR70" s="6"/>
      <c r="HS70" s="6"/>
      <c r="HT70" s="6"/>
      <c r="HU70" s="6"/>
      <c r="HV70" s="6"/>
      <c r="HW70" s="6"/>
      <c r="HX70" s="6"/>
      <c r="HY70" s="6"/>
      <c r="HZ70" s="6"/>
      <c r="IA70" s="6"/>
      <c r="IB70" s="6"/>
      <c r="IC70" s="6"/>
      <c r="ID70" s="6"/>
      <c r="IE70" s="6"/>
      <c r="IF70" s="6"/>
      <c r="IG70" s="6"/>
      <c r="IH70" s="6"/>
      <c r="II70" s="6"/>
      <c r="IJ70" s="6"/>
      <c r="IK70" s="6"/>
      <c r="IL70" s="6"/>
      <c r="IM70" s="6"/>
      <c r="IN70" s="6"/>
      <c r="IO70" s="6"/>
      <c r="IP70" s="6"/>
      <c r="IQ70" s="6"/>
      <c r="IR70" s="6"/>
      <c r="IS70" s="6"/>
      <c r="IT70" s="6"/>
      <c r="IU70" s="6"/>
      <c r="IV70" s="6"/>
      <c r="IW70" s="6"/>
      <c r="IX70" s="6"/>
    </row>
    <row r="71" spans="1:258" s="7" customFormat="1" ht="24.95" customHeight="1" outlineLevel="1" x14ac:dyDescent="0.25">
      <c r="A71" s="6"/>
      <c r="B71" s="2" t="s">
        <v>125</v>
      </c>
      <c r="C71" s="10" t="s">
        <v>126</v>
      </c>
      <c r="D71" s="3" t="s">
        <v>58</v>
      </c>
      <c r="E71" s="4" t="s">
        <v>20</v>
      </c>
      <c r="F71" s="59">
        <v>46236</v>
      </c>
      <c r="G71" s="62">
        <v>46250</v>
      </c>
      <c r="H71" s="84">
        <f t="shared" ref="H71:H75" si="4">IF(F71=0,0,G71-F71)+1</f>
        <v>15</v>
      </c>
      <c r="I71" s="2" t="s">
        <v>127</v>
      </c>
      <c r="J71" s="6"/>
      <c r="K71" s="1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6"/>
      <c r="DG71" s="6"/>
      <c r="DH71" s="6"/>
      <c r="DI71" s="6"/>
      <c r="DJ71" s="6"/>
      <c r="DK71" s="6"/>
      <c r="DL71" s="6"/>
      <c r="DM71" s="6"/>
      <c r="DN71" s="6"/>
      <c r="DO71" s="6"/>
      <c r="DP71" s="6"/>
      <c r="DQ71" s="6"/>
      <c r="DR71" s="6"/>
      <c r="DS71" s="6"/>
      <c r="DT71" s="6"/>
      <c r="DU71" s="6"/>
      <c r="DV71" s="6"/>
      <c r="DW71" s="6"/>
      <c r="DX71" s="6"/>
      <c r="DY71" s="6"/>
      <c r="DZ71" s="6"/>
      <c r="EA71" s="6"/>
      <c r="EB71" s="6"/>
      <c r="EC71" s="6"/>
      <c r="ED71" s="6"/>
      <c r="EE71" s="6"/>
      <c r="EF71" s="6"/>
      <c r="EG71" s="6"/>
      <c r="EH71" s="6"/>
      <c r="EI71" s="6"/>
      <c r="EJ71" s="6"/>
      <c r="EK71" s="6"/>
      <c r="EL71" s="6"/>
      <c r="EM71" s="6"/>
      <c r="EN71" s="6"/>
      <c r="EO71" s="6"/>
      <c r="EP71" s="6"/>
      <c r="EQ71" s="6"/>
      <c r="ER71" s="6"/>
      <c r="ES71" s="6"/>
      <c r="ET71" s="6"/>
      <c r="EU71" s="6"/>
      <c r="EV71" s="6"/>
      <c r="EW71" s="6"/>
      <c r="EX71" s="6"/>
      <c r="EY71" s="6"/>
      <c r="EZ71" s="6"/>
      <c r="FA71" s="6"/>
      <c r="FB71" s="6"/>
      <c r="FC71" s="6"/>
      <c r="FD71" s="6"/>
      <c r="FE71" s="6"/>
      <c r="FF71" s="6"/>
      <c r="FG71" s="6"/>
      <c r="FH71" s="6"/>
      <c r="FI71" s="6"/>
      <c r="FJ71" s="6"/>
      <c r="FK71" s="6"/>
      <c r="FL71" s="6"/>
      <c r="FM71" s="6"/>
      <c r="FN71" s="6"/>
      <c r="FO71" s="6"/>
      <c r="FP71" s="6"/>
      <c r="FQ71" s="6"/>
      <c r="FR71" s="6"/>
      <c r="FS71" s="6"/>
      <c r="FT71" s="6"/>
      <c r="FU71" s="6"/>
      <c r="FV71" s="6"/>
      <c r="FW71" s="6"/>
      <c r="FX71" s="6"/>
      <c r="FY71" s="6"/>
      <c r="FZ71" s="6"/>
      <c r="GA71" s="6"/>
      <c r="GB71" s="6"/>
      <c r="GC71" s="6"/>
      <c r="GD71" s="6"/>
      <c r="GE71" s="6"/>
      <c r="GF71" s="6"/>
      <c r="GG71" s="6"/>
      <c r="GH71" s="6"/>
      <c r="GI71" s="6"/>
      <c r="GJ71" s="6"/>
      <c r="GK71" s="6"/>
      <c r="GL71" s="6"/>
      <c r="GM71" s="6"/>
      <c r="GN71" s="6"/>
      <c r="GO71" s="6"/>
      <c r="GP71" s="6"/>
      <c r="GQ71" s="6"/>
      <c r="GR71" s="6"/>
      <c r="GS71" s="6"/>
      <c r="GT71" s="6"/>
      <c r="GU71" s="6"/>
      <c r="GV71" s="6"/>
      <c r="GW71" s="6"/>
      <c r="GX71" s="6"/>
      <c r="GY71" s="6"/>
      <c r="GZ71" s="6"/>
      <c r="HA71" s="6"/>
      <c r="HB71" s="6"/>
      <c r="HC71" s="6"/>
      <c r="HD71" s="6"/>
      <c r="HE71" s="6"/>
      <c r="HF71" s="6"/>
      <c r="HG71" s="6"/>
      <c r="HH71" s="6"/>
      <c r="HI71" s="6"/>
      <c r="HJ71" s="6"/>
      <c r="HK71" s="6"/>
      <c r="HL71" s="6"/>
      <c r="HM71" s="6"/>
      <c r="HN71" s="6"/>
      <c r="HO71" s="6"/>
      <c r="HP71" s="6"/>
      <c r="HQ71" s="6"/>
      <c r="HR71" s="6"/>
      <c r="HS71" s="6"/>
      <c r="HT71" s="6"/>
      <c r="HU71" s="6"/>
      <c r="HV71" s="6"/>
      <c r="HW71" s="6"/>
      <c r="HX71" s="6"/>
      <c r="HY71" s="6"/>
      <c r="HZ71" s="6"/>
      <c r="IA71" s="6"/>
      <c r="IB71" s="6"/>
      <c r="IC71" s="6"/>
      <c r="ID71" s="6"/>
      <c r="IE71" s="6"/>
      <c r="IF71" s="6"/>
      <c r="IG71" s="6"/>
      <c r="IH71" s="6"/>
      <c r="II71" s="6"/>
      <c r="IJ71" s="6"/>
      <c r="IK71" s="6"/>
      <c r="IL71" s="6"/>
      <c r="IM71" s="6"/>
      <c r="IN71" s="6"/>
      <c r="IO71" s="6"/>
      <c r="IP71" s="6"/>
      <c r="IQ71" s="6"/>
      <c r="IR71" s="6"/>
      <c r="IS71" s="6"/>
      <c r="IT71" s="6"/>
      <c r="IU71" s="6"/>
      <c r="IV71" s="6"/>
      <c r="IW71" s="6"/>
      <c r="IX71" s="6"/>
    </row>
    <row r="72" spans="1:258" s="7" customFormat="1" ht="24.95" customHeight="1" outlineLevel="1" x14ac:dyDescent="0.25">
      <c r="A72" s="6"/>
      <c r="B72" s="2" t="s">
        <v>128</v>
      </c>
      <c r="C72" s="10" t="s">
        <v>129</v>
      </c>
      <c r="D72" s="3" t="s">
        <v>58</v>
      </c>
      <c r="E72" s="4" t="s">
        <v>20</v>
      </c>
      <c r="F72" s="59">
        <v>46251</v>
      </c>
      <c r="G72" s="62">
        <v>46265</v>
      </c>
      <c r="H72" s="84">
        <f t="shared" si="4"/>
        <v>15</v>
      </c>
      <c r="I72" s="2" t="s">
        <v>130</v>
      </c>
      <c r="J72" s="6"/>
      <c r="K72" s="1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6"/>
      <c r="DG72" s="6"/>
      <c r="DH72" s="6"/>
      <c r="DI72" s="6"/>
      <c r="DJ72" s="6"/>
      <c r="DK72" s="6"/>
      <c r="DL72" s="6"/>
      <c r="DM72" s="6"/>
      <c r="DN72" s="6"/>
      <c r="DO72" s="6"/>
      <c r="DP72" s="6"/>
      <c r="DQ72" s="6"/>
      <c r="DR72" s="6"/>
      <c r="DS72" s="6"/>
      <c r="DT72" s="6"/>
      <c r="DU72" s="6"/>
      <c r="DV72" s="6"/>
      <c r="DW72" s="6"/>
      <c r="DX72" s="6"/>
      <c r="DY72" s="6"/>
      <c r="DZ72" s="6"/>
      <c r="EA72" s="6"/>
      <c r="EB72" s="6"/>
      <c r="EC72" s="6"/>
      <c r="ED72" s="6"/>
      <c r="EE72" s="6"/>
      <c r="EF72" s="6"/>
      <c r="EG72" s="6"/>
      <c r="EH72" s="6"/>
      <c r="EI72" s="6"/>
      <c r="EJ72" s="6"/>
      <c r="EK72" s="6"/>
      <c r="EL72" s="6"/>
      <c r="EM72" s="6"/>
      <c r="EN72" s="6"/>
      <c r="EO72" s="6"/>
      <c r="EP72" s="6"/>
      <c r="EQ72" s="6"/>
      <c r="ER72" s="6"/>
      <c r="ES72" s="6"/>
      <c r="ET72" s="6"/>
      <c r="EU72" s="6"/>
      <c r="EV72" s="6"/>
      <c r="EW72" s="6"/>
      <c r="EX72" s="6"/>
      <c r="EY72" s="6"/>
      <c r="EZ72" s="6"/>
      <c r="FA72" s="6"/>
      <c r="FB72" s="6"/>
      <c r="FC72" s="6"/>
      <c r="FD72" s="6"/>
      <c r="FE72" s="6"/>
      <c r="FF72" s="6"/>
      <c r="FG72" s="6"/>
      <c r="FH72" s="6"/>
      <c r="FI72" s="6"/>
      <c r="FJ72" s="6"/>
      <c r="FK72" s="6"/>
      <c r="FL72" s="6"/>
      <c r="FM72" s="6"/>
      <c r="FN72" s="6"/>
      <c r="FO72" s="6"/>
      <c r="FP72" s="6"/>
      <c r="FQ72" s="6"/>
      <c r="FR72" s="6"/>
      <c r="FS72" s="6"/>
      <c r="FT72" s="6"/>
      <c r="FU72" s="6"/>
      <c r="FV72" s="6"/>
      <c r="FW72" s="6"/>
      <c r="FX72" s="6"/>
      <c r="FY72" s="6"/>
      <c r="FZ72" s="6"/>
      <c r="GA72" s="6"/>
      <c r="GB72" s="6"/>
      <c r="GC72" s="6"/>
      <c r="GD72" s="6"/>
      <c r="GE72" s="6"/>
      <c r="GF72" s="6"/>
      <c r="GG72" s="6"/>
      <c r="GH72" s="6"/>
      <c r="GI72" s="6"/>
      <c r="GJ72" s="6"/>
      <c r="GK72" s="6"/>
      <c r="GL72" s="6"/>
      <c r="GM72" s="6"/>
      <c r="GN72" s="6"/>
      <c r="GO72" s="6"/>
      <c r="GP72" s="6"/>
      <c r="GQ72" s="6"/>
      <c r="GR72" s="6"/>
      <c r="GS72" s="6"/>
      <c r="GT72" s="6"/>
      <c r="GU72" s="6"/>
      <c r="GV72" s="6"/>
      <c r="GW72" s="6"/>
      <c r="GX72" s="6"/>
      <c r="GY72" s="6"/>
      <c r="GZ72" s="6"/>
      <c r="HA72" s="6"/>
      <c r="HB72" s="6"/>
      <c r="HC72" s="6"/>
      <c r="HD72" s="6"/>
      <c r="HE72" s="6"/>
      <c r="HF72" s="6"/>
      <c r="HG72" s="6"/>
      <c r="HH72" s="6"/>
      <c r="HI72" s="6"/>
      <c r="HJ72" s="6"/>
      <c r="HK72" s="6"/>
      <c r="HL72" s="6"/>
      <c r="HM72" s="6"/>
      <c r="HN72" s="6"/>
      <c r="HO72" s="6"/>
      <c r="HP72" s="6"/>
      <c r="HQ72" s="6"/>
      <c r="HR72" s="6"/>
      <c r="HS72" s="6"/>
      <c r="HT72" s="6"/>
      <c r="HU72" s="6"/>
      <c r="HV72" s="6"/>
      <c r="HW72" s="6"/>
      <c r="HX72" s="6"/>
      <c r="HY72" s="6"/>
      <c r="HZ72" s="6"/>
      <c r="IA72" s="6"/>
      <c r="IB72" s="6"/>
      <c r="IC72" s="6"/>
      <c r="ID72" s="6"/>
      <c r="IE72" s="6"/>
      <c r="IF72" s="6"/>
      <c r="IG72" s="6"/>
      <c r="IH72" s="6"/>
      <c r="II72" s="6"/>
      <c r="IJ72" s="6"/>
      <c r="IK72" s="6"/>
      <c r="IL72" s="6"/>
      <c r="IM72" s="6"/>
      <c r="IN72" s="6"/>
      <c r="IO72" s="6"/>
      <c r="IP72" s="6"/>
      <c r="IQ72" s="6"/>
      <c r="IR72" s="6"/>
      <c r="IS72" s="6"/>
      <c r="IT72" s="6"/>
      <c r="IU72" s="6"/>
      <c r="IV72" s="6"/>
      <c r="IW72" s="6"/>
      <c r="IX72" s="6"/>
    </row>
    <row r="73" spans="1:258" s="7" customFormat="1" ht="24.95" customHeight="1" outlineLevel="1" x14ac:dyDescent="0.25">
      <c r="A73" s="6"/>
      <c r="B73" s="2" t="s">
        <v>131</v>
      </c>
      <c r="C73" s="10" t="s">
        <v>209</v>
      </c>
      <c r="D73" s="3" t="s">
        <v>58</v>
      </c>
      <c r="E73" s="4" t="s">
        <v>20</v>
      </c>
      <c r="F73" s="59">
        <v>46266</v>
      </c>
      <c r="G73" s="62">
        <v>46275</v>
      </c>
      <c r="H73" s="84">
        <f t="shared" si="4"/>
        <v>10</v>
      </c>
      <c r="I73" s="2" t="s">
        <v>132</v>
      </c>
      <c r="J73" s="6"/>
      <c r="K73" s="1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6"/>
      <c r="DG73" s="6"/>
      <c r="DH73" s="6"/>
      <c r="DI73" s="6"/>
      <c r="DJ73" s="6"/>
      <c r="DK73" s="6"/>
      <c r="DL73" s="6"/>
      <c r="DM73" s="6"/>
      <c r="DN73" s="6"/>
      <c r="DO73" s="6"/>
      <c r="DP73" s="6"/>
      <c r="DQ73" s="6"/>
      <c r="DR73" s="6"/>
      <c r="DS73" s="6"/>
      <c r="DT73" s="6"/>
      <c r="DU73" s="6"/>
      <c r="DV73" s="6"/>
      <c r="DW73" s="6"/>
      <c r="DX73" s="6"/>
      <c r="DY73" s="6"/>
      <c r="DZ73" s="6"/>
      <c r="EA73" s="6"/>
      <c r="EB73" s="6"/>
      <c r="EC73" s="6"/>
      <c r="ED73" s="6"/>
      <c r="EE73" s="6"/>
      <c r="EF73" s="6"/>
      <c r="EG73" s="6"/>
      <c r="EH73" s="6"/>
      <c r="EI73" s="6"/>
      <c r="EJ73" s="6"/>
      <c r="EK73" s="6"/>
      <c r="EL73" s="6"/>
      <c r="EM73" s="6"/>
      <c r="EN73" s="6"/>
      <c r="EO73" s="6"/>
      <c r="EP73" s="6"/>
      <c r="EQ73" s="6"/>
      <c r="ER73" s="6"/>
      <c r="ES73" s="6"/>
      <c r="ET73" s="6"/>
      <c r="EU73" s="6"/>
      <c r="EV73" s="6"/>
      <c r="EW73" s="6"/>
      <c r="EX73" s="6"/>
      <c r="EY73" s="6"/>
      <c r="EZ73" s="6"/>
      <c r="FA73" s="6"/>
      <c r="FB73" s="6"/>
      <c r="FC73" s="6"/>
      <c r="FD73" s="6"/>
      <c r="FE73" s="6"/>
      <c r="FF73" s="6"/>
      <c r="FG73" s="6"/>
      <c r="FH73" s="6"/>
      <c r="FI73" s="6"/>
      <c r="FJ73" s="6"/>
      <c r="FK73" s="6"/>
      <c r="FL73" s="6"/>
      <c r="FM73" s="6"/>
      <c r="FN73" s="6"/>
      <c r="FO73" s="6"/>
      <c r="FP73" s="6"/>
      <c r="FQ73" s="6"/>
      <c r="FR73" s="6"/>
      <c r="FS73" s="6"/>
      <c r="FT73" s="6"/>
      <c r="FU73" s="6"/>
      <c r="FV73" s="6"/>
      <c r="FW73" s="6"/>
      <c r="FX73" s="6"/>
      <c r="FY73" s="6"/>
      <c r="FZ73" s="6"/>
      <c r="GA73" s="6"/>
      <c r="GB73" s="6"/>
      <c r="GC73" s="6"/>
      <c r="GD73" s="6"/>
      <c r="GE73" s="6"/>
      <c r="GF73" s="6"/>
      <c r="GG73" s="6"/>
      <c r="GH73" s="6"/>
      <c r="GI73" s="6"/>
      <c r="GJ73" s="6"/>
      <c r="GK73" s="6"/>
      <c r="GL73" s="6"/>
      <c r="GM73" s="6"/>
      <c r="GN73" s="6"/>
      <c r="GO73" s="6"/>
      <c r="GP73" s="6"/>
      <c r="GQ73" s="6"/>
      <c r="GR73" s="6"/>
      <c r="GS73" s="6"/>
      <c r="GT73" s="6"/>
      <c r="GU73" s="6"/>
      <c r="GV73" s="6"/>
      <c r="GW73" s="6"/>
      <c r="GX73" s="6"/>
      <c r="GY73" s="6"/>
      <c r="GZ73" s="6"/>
      <c r="HA73" s="6"/>
      <c r="HB73" s="6"/>
      <c r="HC73" s="6"/>
      <c r="HD73" s="6"/>
      <c r="HE73" s="6"/>
      <c r="HF73" s="6"/>
      <c r="HG73" s="6"/>
      <c r="HH73" s="6"/>
      <c r="HI73" s="6"/>
      <c r="HJ73" s="6"/>
      <c r="HK73" s="6"/>
      <c r="HL73" s="6"/>
      <c r="HM73" s="6"/>
      <c r="HN73" s="6"/>
      <c r="HO73" s="6"/>
      <c r="HP73" s="6"/>
      <c r="HQ73" s="6"/>
      <c r="HR73" s="6"/>
      <c r="HS73" s="6"/>
      <c r="HT73" s="6"/>
      <c r="HU73" s="6"/>
      <c r="HV73" s="6"/>
      <c r="HW73" s="6"/>
      <c r="HX73" s="6"/>
      <c r="HY73" s="6"/>
      <c r="HZ73" s="6"/>
      <c r="IA73" s="6"/>
      <c r="IB73" s="6"/>
      <c r="IC73" s="6"/>
      <c r="ID73" s="6"/>
      <c r="IE73" s="6"/>
      <c r="IF73" s="6"/>
      <c r="IG73" s="6"/>
      <c r="IH73" s="6"/>
      <c r="II73" s="6"/>
      <c r="IJ73" s="6"/>
      <c r="IK73" s="6"/>
      <c r="IL73" s="6"/>
      <c r="IM73" s="6"/>
      <c r="IN73" s="6"/>
      <c r="IO73" s="6"/>
      <c r="IP73" s="6"/>
      <c r="IQ73" s="6"/>
      <c r="IR73" s="6"/>
      <c r="IS73" s="6"/>
      <c r="IT73" s="6"/>
      <c r="IU73" s="6"/>
      <c r="IV73" s="6"/>
      <c r="IW73" s="6"/>
      <c r="IX73" s="6"/>
    </row>
    <row r="74" spans="1:258" s="7" customFormat="1" ht="24.95" customHeight="1" outlineLevel="1" x14ac:dyDescent="0.25">
      <c r="A74" s="6"/>
      <c r="B74" s="2" t="s">
        <v>133</v>
      </c>
      <c r="C74" s="10" t="s">
        <v>134</v>
      </c>
      <c r="D74" s="3" t="s">
        <v>58</v>
      </c>
      <c r="E74" s="4" t="s">
        <v>20</v>
      </c>
      <c r="F74" s="59">
        <v>46276</v>
      </c>
      <c r="G74" s="62">
        <v>46285</v>
      </c>
      <c r="H74" s="84">
        <f t="shared" si="4"/>
        <v>10</v>
      </c>
      <c r="I74" s="2" t="s">
        <v>135</v>
      </c>
      <c r="J74" s="6"/>
      <c r="K74" s="1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6"/>
      <c r="DG74" s="6"/>
      <c r="DH74" s="6"/>
      <c r="DI74" s="6"/>
      <c r="DJ74" s="6"/>
      <c r="DK74" s="6"/>
      <c r="DL74" s="6"/>
      <c r="DM74" s="6"/>
      <c r="DN74" s="6"/>
      <c r="DO74" s="6"/>
      <c r="DP74" s="6"/>
      <c r="DQ74" s="6"/>
      <c r="DR74" s="6"/>
      <c r="DS74" s="6"/>
      <c r="DT74" s="6"/>
      <c r="DU74" s="6"/>
      <c r="DV74" s="6"/>
      <c r="DW74" s="6"/>
      <c r="DX74" s="6"/>
      <c r="DY74" s="6"/>
      <c r="DZ74" s="6"/>
      <c r="EA74" s="6"/>
      <c r="EB74" s="6"/>
      <c r="EC74" s="6"/>
      <c r="ED74" s="6"/>
      <c r="EE74" s="6"/>
      <c r="EF74" s="6"/>
      <c r="EG74" s="6"/>
      <c r="EH74" s="6"/>
      <c r="EI74" s="6"/>
      <c r="EJ74" s="6"/>
      <c r="EK74" s="6"/>
      <c r="EL74" s="6"/>
      <c r="EM74" s="6"/>
      <c r="EN74" s="6"/>
      <c r="EO74" s="6"/>
      <c r="EP74" s="6"/>
      <c r="EQ74" s="6"/>
      <c r="ER74" s="6"/>
      <c r="ES74" s="6"/>
      <c r="ET74" s="6"/>
      <c r="EU74" s="6"/>
      <c r="EV74" s="6"/>
      <c r="EW74" s="6"/>
      <c r="EX74" s="6"/>
      <c r="EY74" s="6"/>
      <c r="EZ74" s="6"/>
      <c r="FA74" s="6"/>
      <c r="FB74" s="6"/>
      <c r="FC74" s="6"/>
      <c r="FD74" s="6"/>
      <c r="FE74" s="6"/>
      <c r="FF74" s="6"/>
      <c r="FG74" s="6"/>
      <c r="FH74" s="6"/>
      <c r="FI74" s="6"/>
      <c r="FJ74" s="6"/>
      <c r="FK74" s="6"/>
      <c r="FL74" s="6"/>
      <c r="FM74" s="6"/>
      <c r="FN74" s="6"/>
      <c r="FO74" s="6"/>
      <c r="FP74" s="6"/>
      <c r="FQ74" s="6"/>
      <c r="FR74" s="6"/>
      <c r="FS74" s="6"/>
      <c r="FT74" s="6"/>
      <c r="FU74" s="6"/>
      <c r="FV74" s="6"/>
      <c r="FW74" s="6"/>
      <c r="FX74" s="6"/>
      <c r="FY74" s="6"/>
      <c r="FZ74" s="6"/>
      <c r="GA74" s="6"/>
      <c r="GB74" s="6"/>
      <c r="GC74" s="6"/>
      <c r="GD74" s="6"/>
      <c r="GE74" s="6"/>
      <c r="GF74" s="6"/>
      <c r="GG74" s="6"/>
      <c r="GH74" s="6"/>
      <c r="GI74" s="6"/>
      <c r="GJ74" s="6"/>
      <c r="GK74" s="6"/>
      <c r="GL74" s="6"/>
      <c r="GM74" s="6"/>
      <c r="GN74" s="6"/>
      <c r="GO74" s="6"/>
      <c r="GP74" s="6"/>
      <c r="GQ74" s="6"/>
      <c r="GR74" s="6"/>
      <c r="GS74" s="6"/>
      <c r="GT74" s="6"/>
      <c r="GU74" s="6"/>
      <c r="GV74" s="6"/>
      <c r="GW74" s="6"/>
      <c r="GX74" s="6"/>
      <c r="GY74" s="6"/>
      <c r="GZ74" s="6"/>
      <c r="HA74" s="6"/>
      <c r="HB74" s="6"/>
      <c r="HC74" s="6"/>
      <c r="HD74" s="6"/>
      <c r="HE74" s="6"/>
      <c r="HF74" s="6"/>
      <c r="HG74" s="6"/>
      <c r="HH74" s="6"/>
      <c r="HI74" s="6"/>
      <c r="HJ74" s="6"/>
      <c r="HK74" s="6"/>
      <c r="HL74" s="6"/>
      <c r="HM74" s="6"/>
      <c r="HN74" s="6"/>
      <c r="HO74" s="6"/>
      <c r="HP74" s="6"/>
      <c r="HQ74" s="6"/>
      <c r="HR74" s="6"/>
      <c r="HS74" s="6"/>
      <c r="HT74" s="6"/>
      <c r="HU74" s="6"/>
      <c r="HV74" s="6"/>
      <c r="HW74" s="6"/>
      <c r="HX74" s="6"/>
      <c r="HY74" s="6"/>
      <c r="HZ74" s="6"/>
      <c r="IA74" s="6"/>
      <c r="IB74" s="6"/>
      <c r="IC74" s="6"/>
      <c r="ID74" s="6"/>
      <c r="IE74" s="6"/>
      <c r="IF74" s="6"/>
      <c r="IG74" s="6"/>
      <c r="IH74" s="6"/>
      <c r="II74" s="6"/>
      <c r="IJ74" s="6"/>
      <c r="IK74" s="6"/>
      <c r="IL74" s="6"/>
      <c r="IM74" s="6"/>
      <c r="IN74" s="6"/>
      <c r="IO74" s="6"/>
      <c r="IP74" s="6"/>
      <c r="IQ74" s="6"/>
      <c r="IR74" s="6"/>
      <c r="IS74" s="6"/>
      <c r="IT74" s="6"/>
      <c r="IU74" s="6"/>
      <c r="IV74" s="6"/>
      <c r="IW74" s="6"/>
      <c r="IX74" s="6"/>
    </row>
    <row r="75" spans="1:258" ht="17.25" x14ac:dyDescent="0.25">
      <c r="A75" s="1"/>
      <c r="B75" s="2" t="s">
        <v>136</v>
      </c>
      <c r="C75" s="10" t="s">
        <v>137</v>
      </c>
      <c r="D75" s="3" t="s">
        <v>58</v>
      </c>
      <c r="E75" s="4" t="s">
        <v>20</v>
      </c>
      <c r="F75" s="59">
        <v>46286</v>
      </c>
      <c r="G75" s="62">
        <v>46295</v>
      </c>
      <c r="H75" s="84">
        <f t="shared" si="4"/>
        <v>10</v>
      </c>
      <c r="I75" s="2" t="s">
        <v>138</v>
      </c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71"/>
      <c r="G76" s="7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ht="15.75" x14ac:dyDescent="0.25">
      <c r="A77" s="1"/>
      <c r="B77" s="81"/>
      <c r="C77" s="81"/>
      <c r="D77" s="81"/>
      <c r="E77" s="81"/>
      <c r="F77" s="81"/>
      <c r="G77" s="81"/>
      <c r="H77" s="81"/>
      <c r="I77" s="8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ht="15.75" x14ac:dyDescent="0.25">
      <c r="A78" s="1"/>
      <c r="B78" s="82"/>
      <c r="C78" s="82"/>
      <c r="D78" s="82"/>
      <c r="E78" s="82"/>
      <c r="F78" s="83"/>
      <c r="G78" s="83"/>
      <c r="H78" s="82"/>
      <c r="I78" s="82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ht="15.75" x14ac:dyDescent="0.25">
      <c r="A79" s="1"/>
      <c r="B79" s="82"/>
      <c r="C79" s="82"/>
      <c r="D79" s="82"/>
      <c r="E79" s="82"/>
      <c r="F79" s="83"/>
      <c r="G79" s="83"/>
      <c r="H79" s="82"/>
      <c r="I79" s="82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ht="15.75" x14ac:dyDescent="0.25">
      <c r="A80" s="1"/>
      <c r="B80" s="82"/>
      <c r="C80" s="82"/>
      <c r="D80" s="82"/>
      <c r="E80" s="82"/>
      <c r="F80" s="83"/>
      <c r="G80" s="83"/>
      <c r="H80" s="82"/>
      <c r="I80" s="82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ht="15.75" x14ac:dyDescent="0.25">
      <c r="A81" s="1"/>
      <c r="B81" s="82"/>
      <c r="C81" s="82"/>
      <c r="D81" s="82"/>
      <c r="E81" s="82"/>
      <c r="F81" s="83"/>
      <c r="G81" s="83"/>
      <c r="H81" s="82"/>
      <c r="I81" s="82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ht="15.75" x14ac:dyDescent="0.25">
      <c r="A82" s="1"/>
      <c r="B82" s="82"/>
      <c r="C82" s="82"/>
      <c r="D82" s="82"/>
      <c r="E82" s="82"/>
      <c r="F82" s="83"/>
      <c r="G82" s="83"/>
      <c r="H82" s="82"/>
      <c r="I82" s="82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ht="15.75" x14ac:dyDescent="0.25">
      <c r="A83" s="1"/>
      <c r="B83" s="82"/>
      <c r="C83" s="82"/>
      <c r="D83" s="82"/>
      <c r="E83" s="82"/>
      <c r="F83" s="83"/>
      <c r="G83" s="83"/>
      <c r="H83" s="82"/>
      <c r="I83" s="82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ht="15.75" x14ac:dyDescent="0.25">
      <c r="A84" s="1"/>
      <c r="B84" s="82"/>
      <c r="C84" s="82"/>
      <c r="D84" s="82"/>
      <c r="E84" s="82"/>
      <c r="F84" s="83"/>
      <c r="G84" s="83"/>
      <c r="H84" s="82"/>
      <c r="I84" s="82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ht="15.75" x14ac:dyDescent="0.25">
      <c r="A85" s="1"/>
      <c r="B85" s="82"/>
      <c r="C85" s="82"/>
      <c r="D85" s="82"/>
      <c r="E85" s="82"/>
      <c r="F85" s="83"/>
      <c r="G85" s="83"/>
      <c r="H85" s="82"/>
      <c r="I85" s="82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ht="15.75" x14ac:dyDescent="0.25">
      <c r="A86" s="1"/>
      <c r="B86" s="82"/>
      <c r="C86" s="82"/>
      <c r="D86" s="82"/>
      <c r="E86" s="82"/>
      <c r="F86" s="83"/>
      <c r="G86" s="83"/>
      <c r="H86" s="82"/>
      <c r="I86" s="82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ht="15.75" x14ac:dyDescent="0.25">
      <c r="A87" s="1"/>
      <c r="B87" s="82"/>
      <c r="C87" s="82"/>
      <c r="D87" s="82"/>
      <c r="E87" s="82"/>
      <c r="F87" s="83"/>
      <c r="G87" s="83"/>
      <c r="H87" s="82"/>
      <c r="I87" s="82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ht="15.75" x14ac:dyDescent="0.25">
      <c r="A88" s="1"/>
      <c r="B88" s="82"/>
      <c r="C88" s="82"/>
      <c r="D88" s="82"/>
      <c r="E88" s="82"/>
      <c r="F88" s="83"/>
      <c r="G88" s="83"/>
      <c r="H88" s="82"/>
      <c r="I88" s="82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ht="15.75" x14ac:dyDescent="0.25">
      <c r="A89" s="1"/>
      <c r="B89" s="82"/>
      <c r="C89" s="82"/>
      <c r="D89" s="82"/>
      <c r="E89" s="82"/>
      <c r="F89" s="83"/>
      <c r="G89" s="83"/>
      <c r="H89" s="82"/>
      <c r="I89" s="82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ht="15.75" x14ac:dyDescent="0.25">
      <c r="A90" s="1"/>
      <c r="B90" s="82"/>
      <c r="C90" s="82"/>
      <c r="D90" s="82"/>
      <c r="E90" s="82"/>
      <c r="F90" s="83"/>
      <c r="G90" s="83"/>
      <c r="H90" s="82"/>
      <c r="I90" s="82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ht="15.75" x14ac:dyDescent="0.25">
      <c r="A91" s="1"/>
      <c r="B91" s="82"/>
      <c r="C91" s="82"/>
      <c r="D91" s="82"/>
      <c r="E91" s="82"/>
      <c r="F91" s="83"/>
      <c r="G91" s="83"/>
      <c r="H91" s="82"/>
      <c r="I91" s="82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ht="15.75" x14ac:dyDescent="0.25">
      <c r="A92" s="1"/>
      <c r="B92" s="82"/>
      <c r="C92" s="82"/>
      <c r="D92" s="82"/>
      <c r="E92" s="82"/>
      <c r="F92" s="83"/>
      <c r="G92" s="83"/>
      <c r="H92" s="82"/>
      <c r="I92" s="82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ht="15.75" x14ac:dyDescent="0.25">
      <c r="A93" s="1"/>
      <c r="B93" s="82"/>
      <c r="C93" s="82"/>
      <c r="D93" s="82"/>
      <c r="E93" s="82"/>
      <c r="F93" s="83"/>
      <c r="G93" s="83"/>
      <c r="H93" s="82"/>
      <c r="I93" s="82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ht="15.75" x14ac:dyDescent="0.25">
      <c r="A94" s="1"/>
      <c r="B94" s="82"/>
      <c r="C94" s="82"/>
      <c r="D94" s="82"/>
      <c r="E94" s="82"/>
      <c r="F94" s="83"/>
      <c r="G94" s="83"/>
      <c r="H94" s="82"/>
      <c r="I94" s="82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ht="15.75" x14ac:dyDescent="0.25">
      <c r="A95" s="1"/>
      <c r="B95" s="82"/>
      <c r="C95" s="82"/>
      <c r="D95" s="82"/>
      <c r="E95" s="82"/>
      <c r="F95" s="83"/>
      <c r="G95" s="83"/>
      <c r="H95" s="82"/>
      <c r="I95" s="82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ht="15.75" x14ac:dyDescent="0.25">
      <c r="A96" s="1"/>
      <c r="B96" s="82"/>
      <c r="C96" s="82"/>
      <c r="D96" s="82"/>
      <c r="E96" s="82"/>
      <c r="F96" s="83"/>
      <c r="G96" s="83"/>
      <c r="H96" s="82"/>
      <c r="I96" s="82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ht="15.75" x14ac:dyDescent="0.25">
      <c r="A97" s="1"/>
      <c r="B97" s="82"/>
      <c r="C97" s="82"/>
      <c r="D97" s="82"/>
      <c r="E97" s="82"/>
      <c r="F97" s="83"/>
      <c r="G97" s="83"/>
      <c r="H97" s="82"/>
      <c r="I97" s="82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ht="15.75" x14ac:dyDescent="0.25">
      <c r="A98" s="1"/>
      <c r="B98" s="82"/>
      <c r="C98" s="82"/>
      <c r="D98" s="82"/>
      <c r="E98" s="82"/>
      <c r="F98" s="83"/>
      <c r="G98" s="83"/>
      <c r="H98" s="82"/>
      <c r="I98" s="82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ht="15.75" x14ac:dyDescent="0.25">
      <c r="A99" s="1"/>
      <c r="B99" s="82"/>
      <c r="C99" s="82"/>
      <c r="D99" s="82"/>
      <c r="E99" s="82"/>
      <c r="F99" s="83"/>
      <c r="G99" s="83"/>
      <c r="H99" s="82"/>
      <c r="I99" s="82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ht="15.75" x14ac:dyDescent="0.25">
      <c r="A100" s="1"/>
      <c r="B100" s="82"/>
      <c r="C100" s="82"/>
      <c r="D100" s="82"/>
      <c r="E100" s="82"/>
      <c r="F100" s="83"/>
      <c r="G100" s="83"/>
      <c r="H100" s="82"/>
      <c r="I100" s="82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ht="15.75" x14ac:dyDescent="0.25">
      <c r="A101" s="1"/>
      <c r="B101" s="82"/>
      <c r="C101" s="82"/>
      <c r="D101" s="82"/>
      <c r="E101" s="82"/>
      <c r="F101" s="83"/>
      <c r="G101" s="83"/>
      <c r="H101" s="82"/>
      <c r="I101" s="82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ht="15.75" x14ac:dyDescent="0.25">
      <c r="A102" s="1"/>
      <c r="B102" s="82"/>
      <c r="C102" s="82"/>
      <c r="D102" s="82"/>
      <c r="E102" s="82"/>
      <c r="F102" s="83"/>
      <c r="G102" s="83"/>
      <c r="H102" s="82"/>
      <c r="I102" s="82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ht="15.75" x14ac:dyDescent="0.25">
      <c r="A103" s="1"/>
      <c r="B103" s="82"/>
      <c r="C103" s="82"/>
      <c r="D103" s="82"/>
      <c r="E103" s="82"/>
      <c r="F103" s="83"/>
      <c r="G103" s="83"/>
      <c r="H103" s="82"/>
      <c r="I103" s="82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ht="15.75" x14ac:dyDescent="0.25">
      <c r="A104" s="1"/>
      <c r="B104" s="82"/>
      <c r="C104" s="82"/>
      <c r="D104" s="82"/>
      <c r="E104" s="82"/>
      <c r="F104" s="83"/>
      <c r="G104" s="83"/>
      <c r="H104" s="82"/>
      <c r="I104" s="82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ht="15.75" x14ac:dyDescent="0.25">
      <c r="A105" s="1"/>
      <c r="B105" s="82"/>
      <c r="C105" s="82"/>
      <c r="D105" s="82"/>
      <c r="E105" s="82"/>
      <c r="F105" s="83"/>
      <c r="G105" s="83"/>
      <c r="H105" s="82"/>
      <c r="I105" s="82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ht="15.75" x14ac:dyDescent="0.25">
      <c r="A106" s="1"/>
      <c r="B106" s="82"/>
      <c r="C106" s="82"/>
      <c r="D106" s="82"/>
      <c r="E106" s="82"/>
      <c r="F106" s="83"/>
      <c r="G106" s="83"/>
      <c r="H106" s="82"/>
      <c r="I106" s="82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ht="15.75" x14ac:dyDescent="0.25">
      <c r="A107" s="1"/>
      <c r="B107" s="82"/>
      <c r="C107" s="82"/>
      <c r="D107" s="82"/>
      <c r="E107" s="82"/>
      <c r="F107" s="83"/>
      <c r="G107" s="83"/>
      <c r="H107" s="82"/>
      <c r="I107" s="82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ht="15.75" x14ac:dyDescent="0.25">
      <c r="A108" s="1"/>
      <c r="B108" s="82"/>
      <c r="C108" s="82"/>
      <c r="D108" s="82"/>
      <c r="E108" s="82"/>
      <c r="F108" s="83"/>
      <c r="G108" s="83"/>
      <c r="H108" s="82"/>
      <c r="I108" s="82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ht="15.75" x14ac:dyDescent="0.25">
      <c r="A109" s="1"/>
      <c r="B109" s="82"/>
      <c r="C109" s="82"/>
      <c r="D109" s="82"/>
      <c r="E109" s="82"/>
      <c r="F109" s="83"/>
      <c r="G109" s="83"/>
      <c r="H109" s="82"/>
      <c r="I109" s="82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58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58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58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58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58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58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58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58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</row>
    <row r="313" spans="1:25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</row>
    <row r="314" spans="1:25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</row>
    <row r="315" spans="1:258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</row>
    <row r="316" spans="1:258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</row>
    <row r="317" spans="1:258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</row>
    <row r="318" spans="1:258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</row>
    <row r="319" spans="1:258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</row>
    <row r="320" spans="1:258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</row>
    <row r="321" spans="1:28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</row>
    <row r="322" spans="1:28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</row>
    <row r="323" spans="1:28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</row>
    <row r="324" spans="1:28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  <c r="IZ324" s="1"/>
      <c r="JA324" s="1"/>
      <c r="JB324" s="1"/>
      <c r="JC324" s="1"/>
      <c r="JD324" s="1"/>
      <c r="JE324" s="1"/>
      <c r="JF324" s="1"/>
      <c r="JG324" s="1"/>
      <c r="JH324" s="1"/>
      <c r="JI324" s="1"/>
      <c r="JJ324" s="1"/>
      <c r="JK324" s="1"/>
      <c r="JL324" s="1"/>
      <c r="JM324" s="1"/>
      <c r="JN324" s="1"/>
      <c r="JO324" s="1"/>
      <c r="JP324" s="1"/>
      <c r="JQ324" s="1"/>
      <c r="JR324" s="1"/>
      <c r="JS324" s="1"/>
      <c r="JT324" s="1"/>
      <c r="JU324" s="1"/>
      <c r="JV324" s="1"/>
    </row>
    <row r="325" spans="1:28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  <c r="IZ325" s="1"/>
      <c r="JA325" s="1"/>
      <c r="JB325" s="1"/>
      <c r="JC325" s="1"/>
      <c r="JD325" s="1"/>
      <c r="JE325" s="1"/>
      <c r="JF325" s="1"/>
      <c r="JG325" s="1"/>
      <c r="JH325" s="1"/>
      <c r="JI325" s="1"/>
      <c r="JJ325" s="1"/>
      <c r="JK325" s="1"/>
      <c r="JL325" s="1"/>
      <c r="JM325" s="1"/>
      <c r="JN325" s="1"/>
      <c r="JO325" s="1"/>
      <c r="JP325" s="1"/>
      <c r="JQ325" s="1"/>
      <c r="JR325" s="1"/>
      <c r="JS325" s="1"/>
      <c r="JT325" s="1"/>
      <c r="JU325" s="1"/>
      <c r="JV325" s="1"/>
    </row>
    <row r="326" spans="1:28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  <c r="IZ326" s="1"/>
      <c r="JA326" s="1"/>
      <c r="JB326" s="1"/>
      <c r="JC326" s="1"/>
      <c r="JD326" s="1"/>
      <c r="JE326" s="1"/>
      <c r="JF326" s="1"/>
      <c r="JG326" s="1"/>
      <c r="JH326" s="1"/>
      <c r="JI326" s="1"/>
      <c r="JJ326" s="1"/>
      <c r="JK326" s="1"/>
      <c r="JL326" s="1"/>
      <c r="JM326" s="1"/>
      <c r="JN326" s="1"/>
      <c r="JO326" s="1"/>
      <c r="JP326" s="1"/>
      <c r="JQ326" s="1"/>
      <c r="JR326" s="1"/>
      <c r="JS326" s="1"/>
      <c r="JT326" s="1"/>
      <c r="JU326" s="1"/>
      <c r="JV326" s="1"/>
    </row>
    <row r="327" spans="1:28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  <c r="IZ327" s="1"/>
      <c r="JA327" s="1"/>
      <c r="JB327" s="1"/>
      <c r="JC327" s="1"/>
      <c r="JD327" s="1"/>
      <c r="JE327" s="1"/>
      <c r="JF327" s="1"/>
      <c r="JG327" s="1"/>
      <c r="JH327" s="1"/>
      <c r="JI327" s="1"/>
      <c r="JJ327" s="1"/>
      <c r="JK327" s="1"/>
      <c r="JL327" s="1"/>
      <c r="JM327" s="1"/>
      <c r="JN327" s="1"/>
      <c r="JO327" s="1"/>
      <c r="JP327" s="1"/>
      <c r="JQ327" s="1"/>
      <c r="JR327" s="1"/>
      <c r="JS327" s="1"/>
      <c r="JT327" s="1"/>
      <c r="JU327" s="1"/>
      <c r="JV327" s="1"/>
    </row>
    <row r="328" spans="1:28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  <c r="IZ328" s="1"/>
      <c r="JA328" s="1"/>
      <c r="JB328" s="1"/>
      <c r="JC328" s="1"/>
      <c r="JD328" s="1"/>
      <c r="JE328" s="1"/>
      <c r="JF328" s="1"/>
      <c r="JG328" s="1"/>
      <c r="JH328" s="1"/>
      <c r="JI328" s="1"/>
      <c r="JJ328" s="1"/>
      <c r="JK328" s="1"/>
      <c r="JL328" s="1"/>
      <c r="JM328" s="1"/>
      <c r="JN328" s="1"/>
      <c r="JO328" s="1"/>
      <c r="JP328" s="1"/>
      <c r="JQ328" s="1"/>
      <c r="JR328" s="1"/>
      <c r="JS328" s="1"/>
      <c r="JT328" s="1"/>
      <c r="JU328" s="1"/>
      <c r="JV328" s="1"/>
    </row>
    <row r="329" spans="1:28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  <c r="IZ329" s="1"/>
      <c r="JA329" s="1"/>
      <c r="JB329" s="1"/>
      <c r="JC329" s="1"/>
      <c r="JD329" s="1"/>
      <c r="JE329" s="1"/>
      <c r="JF329" s="1"/>
      <c r="JG329" s="1"/>
      <c r="JH329" s="1"/>
      <c r="JI329" s="1"/>
      <c r="JJ329" s="1"/>
      <c r="JK329" s="1"/>
      <c r="JL329" s="1"/>
      <c r="JM329" s="1"/>
      <c r="JN329" s="1"/>
      <c r="JO329" s="1"/>
      <c r="JP329" s="1"/>
      <c r="JQ329" s="1"/>
      <c r="JR329" s="1"/>
      <c r="JS329" s="1"/>
      <c r="JT329" s="1"/>
      <c r="JU329" s="1"/>
      <c r="JV329" s="1"/>
    </row>
    <row r="330" spans="1:28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  <c r="IZ330" s="1"/>
      <c r="JA330" s="1"/>
      <c r="JB330" s="1"/>
      <c r="JC330" s="1"/>
      <c r="JD330" s="1"/>
      <c r="JE330" s="1"/>
      <c r="JF330" s="1"/>
      <c r="JG330" s="1"/>
      <c r="JH330" s="1"/>
      <c r="JI330" s="1"/>
      <c r="JJ330" s="1"/>
      <c r="JK330" s="1"/>
      <c r="JL330" s="1"/>
      <c r="JM330" s="1"/>
      <c r="JN330" s="1"/>
      <c r="JO330" s="1"/>
      <c r="JP330" s="1"/>
      <c r="JQ330" s="1"/>
      <c r="JR330" s="1"/>
      <c r="JS330" s="1"/>
      <c r="JT330" s="1"/>
      <c r="JU330" s="1"/>
      <c r="JV330" s="1"/>
    </row>
    <row r="331" spans="1:28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  <c r="IZ331" s="1"/>
      <c r="JA331" s="1"/>
      <c r="JB331" s="1"/>
      <c r="JC331" s="1"/>
      <c r="JD331" s="1"/>
      <c r="JE331" s="1"/>
      <c r="JF331" s="1"/>
      <c r="JG331" s="1"/>
      <c r="JH331" s="1"/>
      <c r="JI331" s="1"/>
      <c r="JJ331" s="1"/>
      <c r="JK331" s="1"/>
      <c r="JL331" s="1"/>
      <c r="JM331" s="1"/>
      <c r="JN331" s="1"/>
      <c r="JO331" s="1"/>
      <c r="JP331" s="1"/>
      <c r="JQ331" s="1"/>
      <c r="JR331" s="1"/>
      <c r="JS331" s="1"/>
      <c r="JT331" s="1"/>
      <c r="JU331" s="1"/>
      <c r="JV331" s="1"/>
    </row>
    <row r="332" spans="1:28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  <c r="IZ332" s="1"/>
      <c r="JA332" s="1"/>
      <c r="JB332" s="1"/>
      <c r="JC332" s="1"/>
      <c r="JD332" s="1"/>
      <c r="JE332" s="1"/>
      <c r="JF332" s="1"/>
      <c r="JG332" s="1"/>
      <c r="JH332" s="1"/>
      <c r="JI332" s="1"/>
      <c r="JJ332" s="1"/>
      <c r="JK332" s="1"/>
      <c r="JL332" s="1"/>
      <c r="JM332" s="1"/>
      <c r="JN332" s="1"/>
      <c r="JO332" s="1"/>
      <c r="JP332" s="1"/>
      <c r="JQ332" s="1"/>
      <c r="JR332" s="1"/>
      <c r="JS332" s="1"/>
      <c r="JT332" s="1"/>
      <c r="JU332" s="1"/>
      <c r="JV332" s="1"/>
    </row>
    <row r="333" spans="1:28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  <c r="IZ333" s="1"/>
      <c r="JA333" s="1"/>
      <c r="JB333" s="1"/>
      <c r="JC333" s="1"/>
      <c r="JD333" s="1"/>
      <c r="JE333" s="1"/>
      <c r="JF333" s="1"/>
      <c r="JG333" s="1"/>
      <c r="JH333" s="1"/>
      <c r="JI333" s="1"/>
      <c r="JJ333" s="1"/>
      <c r="JK333" s="1"/>
      <c r="JL333" s="1"/>
      <c r="JM333" s="1"/>
      <c r="JN333" s="1"/>
      <c r="JO333" s="1"/>
      <c r="JP333" s="1"/>
      <c r="JQ333" s="1"/>
      <c r="JR333" s="1"/>
      <c r="JS333" s="1"/>
      <c r="JT333" s="1"/>
      <c r="JU333" s="1"/>
      <c r="JV333" s="1"/>
    </row>
    <row r="334" spans="1:28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  <c r="IZ334" s="1"/>
      <c r="JA334" s="1"/>
      <c r="JB334" s="1"/>
      <c r="JC334" s="1"/>
      <c r="JD334" s="1"/>
      <c r="JE334" s="1"/>
      <c r="JF334" s="1"/>
      <c r="JG334" s="1"/>
      <c r="JH334" s="1"/>
      <c r="JI334" s="1"/>
      <c r="JJ334" s="1"/>
      <c r="JK334" s="1"/>
      <c r="JL334" s="1"/>
      <c r="JM334" s="1"/>
      <c r="JN334" s="1"/>
      <c r="JO334" s="1"/>
      <c r="JP334" s="1"/>
      <c r="JQ334" s="1"/>
      <c r="JR334" s="1"/>
      <c r="JS334" s="1"/>
      <c r="JT334" s="1"/>
      <c r="JU334" s="1"/>
      <c r="JV334" s="1"/>
    </row>
    <row r="335" spans="1:28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  <c r="IZ335" s="1"/>
      <c r="JA335" s="1"/>
      <c r="JB335" s="1"/>
      <c r="JC335" s="1"/>
      <c r="JD335" s="1"/>
      <c r="JE335" s="1"/>
      <c r="JF335" s="1"/>
      <c r="JG335" s="1"/>
      <c r="JH335" s="1"/>
      <c r="JI335" s="1"/>
      <c r="JJ335" s="1"/>
      <c r="JK335" s="1"/>
      <c r="JL335" s="1"/>
      <c r="JM335" s="1"/>
      <c r="JN335" s="1"/>
      <c r="JO335" s="1"/>
      <c r="JP335" s="1"/>
      <c r="JQ335" s="1"/>
      <c r="JR335" s="1"/>
      <c r="JS335" s="1"/>
      <c r="JT335" s="1"/>
      <c r="JU335" s="1"/>
      <c r="JV335" s="1"/>
    </row>
    <row r="336" spans="1:28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  <c r="IZ336" s="1"/>
      <c r="JA336" s="1"/>
      <c r="JB336" s="1"/>
      <c r="JC336" s="1"/>
      <c r="JD336" s="1"/>
      <c r="JE336" s="1"/>
      <c r="JF336" s="1"/>
      <c r="JG336" s="1"/>
      <c r="JH336" s="1"/>
      <c r="JI336" s="1"/>
      <c r="JJ336" s="1"/>
      <c r="JK336" s="1"/>
      <c r="JL336" s="1"/>
      <c r="JM336" s="1"/>
      <c r="JN336" s="1"/>
      <c r="JO336" s="1"/>
      <c r="JP336" s="1"/>
      <c r="JQ336" s="1"/>
      <c r="JR336" s="1"/>
      <c r="JS336" s="1"/>
      <c r="JT336" s="1"/>
      <c r="JU336" s="1"/>
      <c r="JV336" s="1"/>
    </row>
    <row r="337" spans="1:28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  <c r="IZ337" s="1"/>
      <c r="JA337" s="1"/>
      <c r="JB337" s="1"/>
      <c r="JC337" s="1"/>
      <c r="JD337" s="1"/>
      <c r="JE337" s="1"/>
      <c r="JF337" s="1"/>
      <c r="JG337" s="1"/>
      <c r="JH337" s="1"/>
      <c r="JI337" s="1"/>
      <c r="JJ337" s="1"/>
      <c r="JK337" s="1"/>
      <c r="JL337" s="1"/>
      <c r="JM337" s="1"/>
      <c r="JN337" s="1"/>
      <c r="JO337" s="1"/>
      <c r="JP337" s="1"/>
      <c r="JQ337" s="1"/>
      <c r="JR337" s="1"/>
      <c r="JS337" s="1"/>
      <c r="JT337" s="1"/>
      <c r="JU337" s="1"/>
      <c r="JV337" s="1"/>
    </row>
    <row r="338" spans="1:28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  <c r="IZ338" s="1"/>
      <c r="JA338" s="1"/>
      <c r="JB338" s="1"/>
      <c r="JC338" s="1"/>
      <c r="JD338" s="1"/>
      <c r="JE338" s="1"/>
      <c r="JF338" s="1"/>
      <c r="JG338" s="1"/>
      <c r="JH338" s="1"/>
      <c r="JI338" s="1"/>
      <c r="JJ338" s="1"/>
      <c r="JK338" s="1"/>
      <c r="JL338" s="1"/>
      <c r="JM338" s="1"/>
      <c r="JN338" s="1"/>
      <c r="JO338" s="1"/>
      <c r="JP338" s="1"/>
      <c r="JQ338" s="1"/>
      <c r="JR338" s="1"/>
      <c r="JS338" s="1"/>
      <c r="JT338" s="1"/>
      <c r="JU338" s="1"/>
      <c r="JV338" s="1"/>
    </row>
    <row r="339" spans="1:28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  <c r="IZ339" s="1"/>
      <c r="JA339" s="1"/>
      <c r="JB339" s="1"/>
      <c r="JC339" s="1"/>
      <c r="JD339" s="1"/>
      <c r="JE339" s="1"/>
      <c r="JF339" s="1"/>
      <c r="JG339" s="1"/>
      <c r="JH339" s="1"/>
      <c r="JI339" s="1"/>
      <c r="JJ339" s="1"/>
      <c r="JK339" s="1"/>
      <c r="JL339" s="1"/>
      <c r="JM339" s="1"/>
      <c r="JN339" s="1"/>
      <c r="JO339" s="1"/>
      <c r="JP339" s="1"/>
      <c r="JQ339" s="1"/>
      <c r="JR339" s="1"/>
      <c r="JS339" s="1"/>
      <c r="JT339" s="1"/>
      <c r="JU339" s="1"/>
      <c r="JV339" s="1"/>
    </row>
    <row r="340" spans="1:28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  <c r="IZ340" s="1"/>
      <c r="JA340" s="1"/>
      <c r="JB340" s="1"/>
      <c r="JC340" s="1"/>
      <c r="JD340" s="1"/>
      <c r="JE340" s="1"/>
      <c r="JF340" s="1"/>
      <c r="JG340" s="1"/>
      <c r="JH340" s="1"/>
      <c r="JI340" s="1"/>
      <c r="JJ340" s="1"/>
      <c r="JK340" s="1"/>
      <c r="JL340" s="1"/>
      <c r="JM340" s="1"/>
      <c r="JN340" s="1"/>
      <c r="JO340" s="1"/>
      <c r="JP340" s="1"/>
      <c r="JQ340" s="1"/>
      <c r="JR340" s="1"/>
      <c r="JS340" s="1"/>
      <c r="JT340" s="1"/>
      <c r="JU340" s="1"/>
      <c r="JV340" s="1"/>
    </row>
    <row r="341" spans="1:28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  <c r="IZ341" s="1"/>
      <c r="JA341" s="1"/>
      <c r="JB341" s="1"/>
      <c r="JC341" s="1"/>
      <c r="JD341" s="1"/>
      <c r="JE341" s="1"/>
      <c r="JF341" s="1"/>
      <c r="JG341" s="1"/>
      <c r="JH341" s="1"/>
      <c r="JI341" s="1"/>
      <c r="JJ341" s="1"/>
      <c r="JK341" s="1"/>
      <c r="JL341" s="1"/>
      <c r="JM341" s="1"/>
      <c r="JN341" s="1"/>
      <c r="JO341" s="1"/>
      <c r="JP341" s="1"/>
      <c r="JQ341" s="1"/>
      <c r="JR341" s="1"/>
      <c r="JS341" s="1"/>
      <c r="JT341" s="1"/>
      <c r="JU341" s="1"/>
      <c r="JV341" s="1"/>
    </row>
    <row r="342" spans="1:28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  <c r="IZ342" s="1"/>
      <c r="JA342" s="1"/>
      <c r="JB342" s="1"/>
      <c r="JC342" s="1"/>
      <c r="JD342" s="1"/>
      <c r="JE342" s="1"/>
      <c r="JF342" s="1"/>
      <c r="JG342" s="1"/>
      <c r="JH342" s="1"/>
      <c r="JI342" s="1"/>
      <c r="JJ342" s="1"/>
      <c r="JK342" s="1"/>
      <c r="JL342" s="1"/>
      <c r="JM342" s="1"/>
      <c r="JN342" s="1"/>
      <c r="JO342" s="1"/>
      <c r="JP342" s="1"/>
      <c r="JQ342" s="1"/>
      <c r="JR342" s="1"/>
      <c r="JS342" s="1"/>
      <c r="JT342" s="1"/>
      <c r="JU342" s="1"/>
      <c r="JV342" s="1"/>
    </row>
    <row r="343" spans="1:28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  <c r="IZ343" s="1"/>
      <c r="JA343" s="1"/>
      <c r="JB343" s="1"/>
      <c r="JC343" s="1"/>
      <c r="JD343" s="1"/>
      <c r="JE343" s="1"/>
      <c r="JF343" s="1"/>
      <c r="JG343" s="1"/>
      <c r="JH343" s="1"/>
      <c r="JI343" s="1"/>
      <c r="JJ343" s="1"/>
      <c r="JK343" s="1"/>
      <c r="JL343" s="1"/>
      <c r="JM343" s="1"/>
      <c r="JN343" s="1"/>
      <c r="JO343" s="1"/>
      <c r="JP343" s="1"/>
      <c r="JQ343" s="1"/>
      <c r="JR343" s="1"/>
      <c r="JS343" s="1"/>
      <c r="JT343" s="1"/>
      <c r="JU343" s="1"/>
      <c r="JV343" s="1"/>
    </row>
    <row r="344" spans="1:28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  <c r="IZ344" s="1"/>
      <c r="JA344" s="1"/>
      <c r="JB344" s="1"/>
      <c r="JC344" s="1"/>
      <c r="JD344" s="1"/>
      <c r="JE344" s="1"/>
      <c r="JF344" s="1"/>
      <c r="JG344" s="1"/>
      <c r="JH344" s="1"/>
      <c r="JI344" s="1"/>
      <c r="JJ344" s="1"/>
      <c r="JK344" s="1"/>
      <c r="JL344" s="1"/>
      <c r="JM344" s="1"/>
      <c r="JN344" s="1"/>
      <c r="JO344" s="1"/>
      <c r="JP344" s="1"/>
      <c r="JQ344" s="1"/>
      <c r="JR344" s="1"/>
      <c r="JS344" s="1"/>
      <c r="JT344" s="1"/>
      <c r="JU344" s="1"/>
      <c r="JV344" s="1"/>
    </row>
    <row r="345" spans="1:28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  <c r="IZ345" s="1"/>
      <c r="JA345" s="1"/>
      <c r="JB345" s="1"/>
      <c r="JC345" s="1"/>
      <c r="JD345" s="1"/>
      <c r="JE345" s="1"/>
      <c r="JF345" s="1"/>
      <c r="JG345" s="1"/>
      <c r="JH345" s="1"/>
      <c r="JI345" s="1"/>
      <c r="JJ345" s="1"/>
      <c r="JK345" s="1"/>
      <c r="JL345" s="1"/>
      <c r="JM345" s="1"/>
      <c r="JN345" s="1"/>
      <c r="JO345" s="1"/>
      <c r="JP345" s="1"/>
      <c r="JQ345" s="1"/>
      <c r="JR345" s="1"/>
      <c r="JS345" s="1"/>
      <c r="JT345" s="1"/>
      <c r="JU345" s="1"/>
      <c r="JV345" s="1"/>
    </row>
    <row r="346" spans="1:28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  <c r="IZ346" s="1"/>
      <c r="JA346" s="1"/>
      <c r="JB346" s="1"/>
      <c r="JC346" s="1"/>
      <c r="JD346" s="1"/>
      <c r="JE346" s="1"/>
      <c r="JF346" s="1"/>
      <c r="JG346" s="1"/>
      <c r="JH346" s="1"/>
      <c r="JI346" s="1"/>
      <c r="JJ346" s="1"/>
      <c r="JK346" s="1"/>
      <c r="JL346" s="1"/>
      <c r="JM346" s="1"/>
      <c r="JN346" s="1"/>
      <c r="JO346" s="1"/>
      <c r="JP346" s="1"/>
      <c r="JQ346" s="1"/>
      <c r="JR346" s="1"/>
      <c r="JS346" s="1"/>
      <c r="JT346" s="1"/>
      <c r="JU346" s="1"/>
      <c r="JV346" s="1"/>
    </row>
    <row r="347" spans="1:28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  <c r="IZ347" s="1"/>
      <c r="JA347" s="1"/>
      <c r="JB347" s="1"/>
      <c r="JC347" s="1"/>
      <c r="JD347" s="1"/>
      <c r="JE347" s="1"/>
      <c r="JF347" s="1"/>
      <c r="JG347" s="1"/>
      <c r="JH347" s="1"/>
      <c r="JI347" s="1"/>
      <c r="JJ347" s="1"/>
      <c r="JK347" s="1"/>
      <c r="JL347" s="1"/>
      <c r="JM347" s="1"/>
      <c r="JN347" s="1"/>
      <c r="JO347" s="1"/>
      <c r="JP347" s="1"/>
      <c r="JQ347" s="1"/>
      <c r="JR347" s="1"/>
      <c r="JS347" s="1"/>
      <c r="JT347" s="1"/>
      <c r="JU347" s="1"/>
      <c r="JV347" s="1"/>
    </row>
    <row r="348" spans="1:28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  <c r="IZ348" s="1"/>
      <c r="JA348" s="1"/>
      <c r="JB348" s="1"/>
      <c r="JC348" s="1"/>
      <c r="JD348" s="1"/>
      <c r="JE348" s="1"/>
      <c r="JF348" s="1"/>
      <c r="JG348" s="1"/>
      <c r="JH348" s="1"/>
      <c r="JI348" s="1"/>
      <c r="JJ348" s="1"/>
      <c r="JK348" s="1"/>
      <c r="JL348" s="1"/>
      <c r="JM348" s="1"/>
      <c r="JN348" s="1"/>
      <c r="JO348" s="1"/>
      <c r="JP348" s="1"/>
      <c r="JQ348" s="1"/>
      <c r="JR348" s="1"/>
      <c r="JS348" s="1"/>
      <c r="JT348" s="1"/>
      <c r="JU348" s="1"/>
      <c r="JV348" s="1"/>
    </row>
    <row r="349" spans="1:28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  <c r="IZ349" s="1"/>
      <c r="JA349" s="1"/>
      <c r="JB349" s="1"/>
      <c r="JC349" s="1"/>
      <c r="JD349" s="1"/>
      <c r="JE349" s="1"/>
      <c r="JF349" s="1"/>
      <c r="JG349" s="1"/>
      <c r="JH349" s="1"/>
      <c r="JI349" s="1"/>
      <c r="JJ349" s="1"/>
      <c r="JK349" s="1"/>
      <c r="JL349" s="1"/>
      <c r="JM349" s="1"/>
      <c r="JN349" s="1"/>
      <c r="JO349" s="1"/>
      <c r="JP349" s="1"/>
      <c r="JQ349" s="1"/>
      <c r="JR349" s="1"/>
      <c r="JS349" s="1"/>
      <c r="JT349" s="1"/>
      <c r="JU349" s="1"/>
      <c r="JV349" s="1"/>
    </row>
    <row r="350" spans="1:28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  <c r="IZ350" s="1"/>
      <c r="JA350" s="1"/>
      <c r="JB350" s="1"/>
      <c r="JC350" s="1"/>
      <c r="JD350" s="1"/>
      <c r="JE350" s="1"/>
      <c r="JF350" s="1"/>
      <c r="JG350" s="1"/>
      <c r="JH350" s="1"/>
      <c r="JI350" s="1"/>
      <c r="JJ350" s="1"/>
      <c r="JK350" s="1"/>
      <c r="JL350" s="1"/>
      <c r="JM350" s="1"/>
      <c r="JN350" s="1"/>
      <c r="JO350" s="1"/>
      <c r="JP350" s="1"/>
      <c r="JQ350" s="1"/>
      <c r="JR350" s="1"/>
      <c r="JS350" s="1"/>
      <c r="JT350" s="1"/>
      <c r="JU350" s="1"/>
      <c r="JV350" s="1"/>
    </row>
    <row r="351" spans="1:28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  <c r="IZ351" s="1"/>
      <c r="JA351" s="1"/>
      <c r="JB351" s="1"/>
      <c r="JC351" s="1"/>
      <c r="JD351" s="1"/>
      <c r="JE351" s="1"/>
      <c r="JF351" s="1"/>
      <c r="JG351" s="1"/>
      <c r="JH351" s="1"/>
      <c r="JI351" s="1"/>
      <c r="JJ351" s="1"/>
      <c r="JK351" s="1"/>
      <c r="JL351" s="1"/>
      <c r="JM351" s="1"/>
      <c r="JN351" s="1"/>
      <c r="JO351" s="1"/>
      <c r="JP351" s="1"/>
      <c r="JQ351" s="1"/>
      <c r="JR351" s="1"/>
      <c r="JS351" s="1"/>
      <c r="JT351" s="1"/>
      <c r="JU351" s="1"/>
      <c r="JV351" s="1"/>
    </row>
    <row r="352" spans="1:28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  <c r="IZ352" s="1"/>
      <c r="JA352" s="1"/>
      <c r="JB352" s="1"/>
      <c r="JC352" s="1"/>
      <c r="JD352" s="1"/>
      <c r="JE352" s="1"/>
      <c r="JF352" s="1"/>
      <c r="JG352" s="1"/>
      <c r="JH352" s="1"/>
      <c r="JI352" s="1"/>
      <c r="JJ352" s="1"/>
      <c r="JK352" s="1"/>
      <c r="JL352" s="1"/>
      <c r="JM352" s="1"/>
      <c r="JN352" s="1"/>
      <c r="JO352" s="1"/>
      <c r="JP352" s="1"/>
      <c r="JQ352" s="1"/>
      <c r="JR352" s="1"/>
      <c r="JS352" s="1"/>
      <c r="JT352" s="1"/>
      <c r="JU352" s="1"/>
      <c r="JV352" s="1"/>
    </row>
    <row r="353" spans="1:28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  <c r="IZ353" s="1"/>
      <c r="JA353" s="1"/>
      <c r="JB353" s="1"/>
      <c r="JC353" s="1"/>
      <c r="JD353" s="1"/>
      <c r="JE353" s="1"/>
      <c r="JF353" s="1"/>
      <c r="JG353" s="1"/>
      <c r="JH353" s="1"/>
      <c r="JI353" s="1"/>
      <c r="JJ353" s="1"/>
      <c r="JK353" s="1"/>
      <c r="JL353" s="1"/>
      <c r="JM353" s="1"/>
      <c r="JN353" s="1"/>
      <c r="JO353" s="1"/>
      <c r="JP353" s="1"/>
      <c r="JQ353" s="1"/>
      <c r="JR353" s="1"/>
      <c r="JS353" s="1"/>
      <c r="JT353" s="1"/>
      <c r="JU353" s="1"/>
      <c r="JV353" s="1"/>
    </row>
    <row r="354" spans="1:28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  <c r="IZ354" s="1"/>
      <c r="JA354" s="1"/>
      <c r="JB354" s="1"/>
      <c r="JC354" s="1"/>
      <c r="JD354" s="1"/>
      <c r="JE354" s="1"/>
      <c r="JF354" s="1"/>
      <c r="JG354" s="1"/>
      <c r="JH354" s="1"/>
      <c r="JI354" s="1"/>
      <c r="JJ354" s="1"/>
      <c r="JK354" s="1"/>
      <c r="JL354" s="1"/>
      <c r="JM354" s="1"/>
      <c r="JN354" s="1"/>
      <c r="JO354" s="1"/>
      <c r="JP354" s="1"/>
      <c r="JQ354" s="1"/>
      <c r="JR354" s="1"/>
      <c r="JS354" s="1"/>
      <c r="JT354" s="1"/>
      <c r="JU354" s="1"/>
      <c r="JV354" s="1"/>
    </row>
    <row r="355" spans="1:28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  <c r="IZ355" s="1"/>
      <c r="JA355" s="1"/>
      <c r="JB355" s="1"/>
      <c r="JC355" s="1"/>
      <c r="JD355" s="1"/>
      <c r="JE355" s="1"/>
      <c r="JF355" s="1"/>
      <c r="JG355" s="1"/>
      <c r="JH355" s="1"/>
      <c r="JI355" s="1"/>
      <c r="JJ355" s="1"/>
      <c r="JK355" s="1"/>
      <c r="JL355" s="1"/>
      <c r="JM355" s="1"/>
      <c r="JN355" s="1"/>
      <c r="JO355" s="1"/>
      <c r="JP355" s="1"/>
      <c r="JQ355" s="1"/>
      <c r="JR355" s="1"/>
      <c r="JS355" s="1"/>
      <c r="JT355" s="1"/>
      <c r="JU355" s="1"/>
      <c r="JV355" s="1"/>
    </row>
    <row r="356" spans="1:28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  <c r="IZ356" s="1"/>
      <c r="JA356" s="1"/>
      <c r="JB356" s="1"/>
      <c r="JC356" s="1"/>
      <c r="JD356" s="1"/>
      <c r="JE356" s="1"/>
      <c r="JF356" s="1"/>
      <c r="JG356" s="1"/>
      <c r="JH356" s="1"/>
      <c r="JI356" s="1"/>
      <c r="JJ356" s="1"/>
      <c r="JK356" s="1"/>
      <c r="JL356" s="1"/>
      <c r="JM356" s="1"/>
      <c r="JN356" s="1"/>
      <c r="JO356" s="1"/>
      <c r="JP356" s="1"/>
      <c r="JQ356" s="1"/>
      <c r="JR356" s="1"/>
      <c r="JS356" s="1"/>
      <c r="JT356" s="1"/>
      <c r="JU356" s="1"/>
      <c r="JV356" s="1"/>
    </row>
    <row r="357" spans="1:28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  <c r="IZ357" s="1"/>
      <c r="JA357" s="1"/>
      <c r="JB357" s="1"/>
      <c r="JC357" s="1"/>
      <c r="JD357" s="1"/>
      <c r="JE357" s="1"/>
      <c r="JF357" s="1"/>
      <c r="JG357" s="1"/>
      <c r="JH357" s="1"/>
      <c r="JI357" s="1"/>
      <c r="JJ357" s="1"/>
      <c r="JK357" s="1"/>
      <c r="JL357" s="1"/>
      <c r="JM357" s="1"/>
      <c r="JN357" s="1"/>
      <c r="JO357" s="1"/>
      <c r="JP357" s="1"/>
      <c r="JQ357" s="1"/>
      <c r="JR357" s="1"/>
      <c r="JS357" s="1"/>
      <c r="JT357" s="1"/>
      <c r="JU357" s="1"/>
      <c r="JV357" s="1"/>
    </row>
    <row r="358" spans="1:28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  <c r="IZ358" s="1"/>
      <c r="JA358" s="1"/>
      <c r="JB358" s="1"/>
      <c r="JC358" s="1"/>
      <c r="JD358" s="1"/>
      <c r="JE358" s="1"/>
      <c r="JF358" s="1"/>
      <c r="JG358" s="1"/>
      <c r="JH358" s="1"/>
      <c r="JI358" s="1"/>
      <c r="JJ358" s="1"/>
      <c r="JK358" s="1"/>
      <c r="JL358" s="1"/>
      <c r="JM358" s="1"/>
      <c r="JN358" s="1"/>
      <c r="JO358" s="1"/>
      <c r="JP358" s="1"/>
      <c r="JQ358" s="1"/>
      <c r="JR358" s="1"/>
      <c r="JS358" s="1"/>
      <c r="JT358" s="1"/>
      <c r="JU358" s="1"/>
      <c r="JV358" s="1"/>
    </row>
    <row r="359" spans="1:28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  <c r="IZ359" s="1"/>
      <c r="JA359" s="1"/>
      <c r="JB359" s="1"/>
      <c r="JC359" s="1"/>
      <c r="JD359" s="1"/>
      <c r="JE359" s="1"/>
      <c r="JF359" s="1"/>
      <c r="JG359" s="1"/>
      <c r="JH359" s="1"/>
      <c r="JI359" s="1"/>
      <c r="JJ359" s="1"/>
      <c r="JK359" s="1"/>
      <c r="JL359" s="1"/>
      <c r="JM359" s="1"/>
      <c r="JN359" s="1"/>
      <c r="JO359" s="1"/>
      <c r="JP359" s="1"/>
      <c r="JQ359" s="1"/>
      <c r="JR359" s="1"/>
      <c r="JS359" s="1"/>
      <c r="JT359" s="1"/>
      <c r="JU359" s="1"/>
      <c r="JV359" s="1"/>
    </row>
    <row r="360" spans="1:28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  <c r="IZ360" s="1"/>
      <c r="JA360" s="1"/>
      <c r="JB360" s="1"/>
      <c r="JC360" s="1"/>
      <c r="JD360" s="1"/>
      <c r="JE360" s="1"/>
      <c r="JF360" s="1"/>
      <c r="JG360" s="1"/>
      <c r="JH360" s="1"/>
      <c r="JI360" s="1"/>
      <c r="JJ360" s="1"/>
      <c r="JK360" s="1"/>
      <c r="JL360" s="1"/>
      <c r="JM360" s="1"/>
      <c r="JN360" s="1"/>
      <c r="JO360" s="1"/>
      <c r="JP360" s="1"/>
      <c r="JQ360" s="1"/>
      <c r="JR360" s="1"/>
      <c r="JS360" s="1"/>
      <c r="JT360" s="1"/>
      <c r="JU360" s="1"/>
      <c r="JV360" s="1"/>
    </row>
    <row r="361" spans="1:28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  <c r="IZ361" s="1"/>
      <c r="JA361" s="1"/>
      <c r="JB361" s="1"/>
      <c r="JC361" s="1"/>
      <c r="JD361" s="1"/>
      <c r="JE361" s="1"/>
      <c r="JF361" s="1"/>
      <c r="JG361" s="1"/>
      <c r="JH361" s="1"/>
      <c r="JI361" s="1"/>
      <c r="JJ361" s="1"/>
      <c r="JK361" s="1"/>
      <c r="JL361" s="1"/>
      <c r="JM361" s="1"/>
      <c r="JN361" s="1"/>
      <c r="JO361" s="1"/>
      <c r="JP361" s="1"/>
      <c r="JQ361" s="1"/>
      <c r="JR361" s="1"/>
      <c r="JS361" s="1"/>
      <c r="JT361" s="1"/>
      <c r="JU361" s="1"/>
      <c r="JV361" s="1"/>
    </row>
    <row r="362" spans="1:28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  <c r="IZ362" s="1"/>
      <c r="JA362" s="1"/>
      <c r="JB362" s="1"/>
      <c r="JC362" s="1"/>
      <c r="JD362" s="1"/>
      <c r="JE362" s="1"/>
      <c r="JF362" s="1"/>
      <c r="JG362" s="1"/>
      <c r="JH362" s="1"/>
      <c r="JI362" s="1"/>
      <c r="JJ362" s="1"/>
      <c r="JK362" s="1"/>
      <c r="JL362" s="1"/>
      <c r="JM362" s="1"/>
      <c r="JN362" s="1"/>
      <c r="JO362" s="1"/>
      <c r="JP362" s="1"/>
      <c r="JQ362" s="1"/>
      <c r="JR362" s="1"/>
      <c r="JS362" s="1"/>
      <c r="JT362" s="1"/>
      <c r="JU362" s="1"/>
      <c r="JV362" s="1"/>
    </row>
    <row r="363" spans="1:28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  <c r="IZ363" s="1"/>
      <c r="JA363" s="1"/>
      <c r="JB363" s="1"/>
      <c r="JC363" s="1"/>
      <c r="JD363" s="1"/>
      <c r="JE363" s="1"/>
      <c r="JF363" s="1"/>
      <c r="JG363" s="1"/>
      <c r="JH363" s="1"/>
      <c r="JI363" s="1"/>
      <c r="JJ363" s="1"/>
      <c r="JK363" s="1"/>
      <c r="JL363" s="1"/>
      <c r="JM363" s="1"/>
      <c r="JN363" s="1"/>
      <c r="JO363" s="1"/>
      <c r="JP363" s="1"/>
      <c r="JQ363" s="1"/>
      <c r="JR363" s="1"/>
      <c r="JS363" s="1"/>
      <c r="JT363" s="1"/>
      <c r="JU363" s="1"/>
      <c r="JV363" s="1"/>
    </row>
    <row r="364" spans="1:28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  <c r="JV364" s="1"/>
    </row>
    <row r="365" spans="1:28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  <c r="JV365" s="1"/>
    </row>
    <row r="366" spans="1:28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  <c r="JV366" s="1"/>
    </row>
    <row r="367" spans="1:28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  <c r="JV367" s="1"/>
    </row>
    <row r="368" spans="1:28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  <c r="JV368" s="1"/>
    </row>
    <row r="369" spans="1:28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  <c r="JV369" s="1"/>
    </row>
    <row r="370" spans="1:28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  <c r="JV370" s="1"/>
    </row>
    <row r="371" spans="1:28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  <c r="JV371" s="1"/>
    </row>
    <row r="372" spans="1:28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  <c r="JV372" s="1"/>
    </row>
    <row r="373" spans="1:28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  <c r="JV373" s="1"/>
    </row>
    <row r="374" spans="1:28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  <c r="JV374" s="1"/>
    </row>
    <row r="375" spans="1:28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  <c r="JV375" s="1"/>
    </row>
    <row r="376" spans="1:28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  <c r="JV376" s="1"/>
    </row>
    <row r="377" spans="1:28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  <c r="JV377" s="1"/>
    </row>
    <row r="378" spans="1:28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  <c r="JV378" s="1"/>
    </row>
    <row r="379" spans="1:28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  <c r="JV379" s="1"/>
    </row>
    <row r="380" spans="1:28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  <c r="JV380" s="1"/>
    </row>
    <row r="381" spans="1:28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  <c r="JV381" s="1"/>
    </row>
    <row r="382" spans="1:28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  <c r="JV382" s="1"/>
    </row>
    <row r="383" spans="1:28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  <c r="JV383" s="1"/>
    </row>
    <row r="384" spans="1:28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  <c r="JV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  <c r="JV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  <c r="JV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  <c r="JV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  <row r="1002" spans="1:282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</row>
    <row r="1003" spans="1:282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</row>
    <row r="1004" spans="1:282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</row>
    <row r="1005" spans="1:282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</row>
    <row r="1006" spans="1:282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</row>
    <row r="1007" spans="1:282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</row>
    <row r="1008" spans="1:282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</row>
    <row r="1009" spans="1:282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</row>
    <row r="1010" spans="1:282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</row>
    <row r="1011" spans="1:282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</row>
    <row r="1012" spans="1:282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</row>
    <row r="1013" spans="1:282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</row>
  </sheetData>
  <mergeCells count="1">
    <mergeCell ref="A1:H1"/>
  </mergeCells>
  <phoneticPr fontId="3" type="noConversion"/>
  <conditionalFormatting sqref="D8">
    <cfRule type="containsText" dxfId="19" priority="9" stopIfTrue="1" operator="containsText" text="On Hold">
      <formula>NOT(ISERROR(SEARCH("On Hold",D8)))</formula>
    </cfRule>
    <cfRule type="containsText" dxfId="18" priority="10" operator="containsText" text="Complete">
      <formula>NOT(ISERROR(SEARCH("Complete",D8)))</formula>
    </cfRule>
    <cfRule type="containsText" dxfId="17" priority="11" operator="containsText" text="In Progress">
      <formula>NOT(ISERROR(SEARCH("In Progress",D8)))</formula>
    </cfRule>
    <cfRule type="containsText" dxfId="16" priority="12" operator="containsText" text="Not Started">
      <formula>NOT(ISERROR(SEARCH("Not Started",D8)))</formula>
    </cfRule>
  </conditionalFormatting>
  <conditionalFormatting sqref="D9:D75">
    <cfRule type="cellIs" dxfId="15" priority="13" operator="equal">
      <formula>"En Espera"</formula>
    </cfRule>
    <cfRule type="cellIs" dxfId="14" priority="14" operator="equal">
      <formula>"En Progreso"</formula>
    </cfRule>
    <cfRule type="cellIs" dxfId="13" priority="15" operator="equal">
      <formula>"No Iniciado"</formula>
    </cfRule>
    <cfRule type="cellIs" dxfId="12" priority="16" operator="equal">
      <formula>"Completo"</formula>
    </cfRule>
    <cfRule type="containsText" dxfId="11" priority="49" operator="containsText" text="On Hold">
      <formula>NOT(ISERROR(SEARCH("On Hold",D9)))</formula>
    </cfRule>
    <cfRule type="containsText" dxfId="10" priority="50" operator="containsText" text="Complete">
      <formula>NOT(ISERROR(SEARCH("Complete",D9)))</formula>
    </cfRule>
    <cfRule type="containsText" dxfId="9" priority="51" operator="containsText" text="In Progress">
      <formula>NOT(ISERROR(SEARCH("In Progress",D9)))</formula>
    </cfRule>
    <cfRule type="containsText" dxfId="8" priority="52" operator="containsText" text="Not Started">
      <formula>NOT(ISERROR(SEARCH("Not Started",D9)))</formula>
    </cfRule>
  </conditionalFormatting>
  <conditionalFormatting sqref="K8:K11">
    <cfRule type="containsText" dxfId="7" priority="1" stopIfTrue="1" operator="containsText" text="On Hold">
      <formula>NOT(ISERROR(SEARCH("On Hold",K8)))</formula>
    </cfRule>
    <cfRule type="containsText" dxfId="6" priority="2" operator="containsText" text="Complete">
      <formula>NOT(ISERROR(SEARCH("Complete",K8)))</formula>
    </cfRule>
    <cfRule type="containsText" dxfId="5" priority="3" operator="containsText" text="In Progress">
      <formula>NOT(ISERROR(SEARCH("In Progress",K8)))</formula>
    </cfRule>
    <cfRule type="containsText" dxfId="4" priority="4" operator="containsText" text="Not Started">
      <formula>NOT(ISERROR(SEARCH("Not Started",K8)))</formula>
    </cfRule>
  </conditionalFormatting>
  <conditionalFormatting sqref="K16">
    <cfRule type="containsText" dxfId="3" priority="61" stopIfTrue="1" operator="containsText" text="On Hold">
      <formula>NOT(ISERROR(SEARCH("On Hold",K16)))</formula>
    </cfRule>
    <cfRule type="containsText" dxfId="2" priority="62" operator="containsText" text="Complete">
      <formula>NOT(ISERROR(SEARCH("Complete",K16)))</formula>
    </cfRule>
    <cfRule type="containsText" dxfId="1" priority="63" operator="containsText" text="In Progress">
      <formula>NOT(ISERROR(SEARCH("In Progress",K16)))</formula>
    </cfRule>
    <cfRule type="containsText" dxfId="0" priority="64" operator="containsText" text="Not Started">
      <formula>NOT(ISERROR(SEARCH("Not Started",K16)))</formula>
    </cfRule>
  </conditionalFormatting>
  <dataValidations disablePrompts="1" count="1">
    <dataValidation type="list" allowBlank="1" showInputMessage="1" showErrorMessage="1" sqref="D9:D75" xr:uid="{00000000-0002-0000-0000-000000000000}">
      <formula1>$K$8:$K$15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2026-06-06T05:06:14Z</dcterms:modified>
</cp:coreProperties>
</file>