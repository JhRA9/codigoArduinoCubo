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jonys\OneDrive\Documentos\Tareas\Gestion de proyectos\Tareas\"/>
    </mc:Choice>
  </mc:AlternateContent>
  <xr:revisionPtr revIDLastSave="0" documentId="13_ncr:1_{F92C1AF3-CC9B-4FC2-BB8F-50465DDDA9FF}" xr6:coauthVersionLast="47" xr6:coauthVersionMax="47" xr10:uidLastSave="{00000000-0000-0000-0000-000000000000}"/>
  <bookViews>
    <workbookView xWindow="-105" yWindow="0" windowWidth="22425" windowHeight="20985" tabRatio="500" xr2:uid="{00000000-000D-0000-FFFF-FFFF00000000}"/>
  </bookViews>
  <sheets>
    <sheet name="PROYECTO SOFTWARE ARDUINO CUBO " sheetId="1" r:id="rId1"/>
  </sheets>
  <externalReferences>
    <externalReference r:id="rId2"/>
  </externalReferences>
  <definedNames>
    <definedName name="_xlnm.Print_Area" localSheetId="0">'PROYECTO SOFTWARE ARDUINO CUBO '!$B$1:$I$33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28" i="1" l="1"/>
  <c r="D28" i="1"/>
  <c r="H25" i="1"/>
  <c r="H24" i="1"/>
  <c r="H22" i="1"/>
  <c r="H19" i="1"/>
  <c r="H20" i="1"/>
  <c r="H21" i="1"/>
  <c r="H18" i="1"/>
  <c r="H17" i="1"/>
  <c r="H14" i="1"/>
  <c r="H15" i="1"/>
  <c r="H16" i="1"/>
  <c r="H13" i="1"/>
  <c r="H10" i="1"/>
  <c r="H11" i="1"/>
  <c r="H9" i="1"/>
  <c r="H8" i="1"/>
  <c r="H12" i="1"/>
  <c r="H23" i="1"/>
  <c r="H5" i="1" l="1"/>
</calcChain>
</file>

<file path=xl/sharedStrings.xml><?xml version="1.0" encoding="utf-8"?>
<sst xmlns="http://schemas.openxmlformats.org/spreadsheetml/2006/main" count="106" uniqueCount="69">
  <si>
    <t>3.2.1</t>
  </si>
  <si>
    <t>3.2.2</t>
  </si>
  <si>
    <t>WBS No.</t>
  </si>
  <si>
    <t>Concepción e Inicio del Proyecto</t>
  </si>
  <si>
    <t>Definición y Planificación del Proyecto</t>
  </si>
  <si>
    <t>Lanzamiento y Ejecución del Proyecto</t>
  </si>
  <si>
    <t>Desempeño / Monitoreo del Proyecto</t>
  </si>
  <si>
    <t>Nombre de la tarea</t>
  </si>
  <si>
    <t>Estado</t>
  </si>
  <si>
    <t>Asignado a</t>
  </si>
  <si>
    <t>Fecha  inicio</t>
  </si>
  <si>
    <t>Fecha fin</t>
  </si>
  <si>
    <t>Duración (en días)</t>
  </si>
  <si>
    <t>Comentarios</t>
  </si>
  <si>
    <t>Título del Proyecto</t>
  </si>
  <si>
    <t>Gerente del Proyecto</t>
  </si>
  <si>
    <t>Fecha inicio</t>
  </si>
  <si>
    <t>Fecha Fin</t>
  </si>
  <si>
    <t>Duracion del proyecto</t>
  </si>
  <si>
    <t>en dias</t>
  </si>
  <si>
    <t>Completo</t>
  </si>
  <si>
    <t>En progreso</t>
  </si>
  <si>
    <t>No Iniciado</t>
  </si>
  <si>
    <t>En Espera</t>
  </si>
  <si>
    <t>– Identificar funcionalidades del software</t>
  </si>
  <si>
    <t>– Definir limitaciones técnicas</t>
  </si>
  <si>
    <t>– Analizar memoria y pines del Arduino</t>
  </si>
  <si>
    <t>– Diseñar flujo general del programa</t>
  </si>
  <si>
    <t>Jhon Perez</t>
  </si>
  <si>
    <t>– Diseñar estructura de matriz 8x8x8</t>
  </si>
  <si>
    <t>– Diseñar funciones básicas de control</t>
  </si>
  <si>
    <t>– Diseñar funciones de figuras 2D y 3D</t>
  </si>
  <si>
    <t>1.1.1</t>
  </si>
  <si>
    <t>1.1.2</t>
  </si>
  <si>
    <t>1.2.1</t>
  </si>
  <si>
    <t>2.1.1</t>
  </si>
  <si>
    <t>2.1.2</t>
  </si>
  <si>
    <t>2.3.1</t>
  </si>
  <si>
    <t>2.3.2</t>
  </si>
  <si>
    <t>3.1.1</t>
  </si>
  <si>
    <t>3.1.2</t>
  </si>
  <si>
    <t>3.1.3</t>
  </si>
  <si>
    <t>4.1.1</t>
  </si>
  <si>
    <t>– Programar control individual de LEDs</t>
  </si>
  <si>
    <t>– Implementar manejo matricial 3D</t>
  </si>
  <si>
    <t>4.1.2</t>
  </si>
  <si>
    <t>PROYECTO SOFTWARE ARDUINO CUBO DE LEDS RGB</t>
  </si>
  <si>
    <t>JHON EMERSON PEREZ RAMIREZ</t>
  </si>
  <si>
    <t>– Programar animaciones básicas</t>
  </si>
  <si>
    <t>– Optimizar temporización y rendimiento</t>
  </si>
  <si>
    <t>– Realizar pruebas individuales y de integración</t>
  </si>
  <si>
    <t>– Documentar código y entregar versión final</t>
  </si>
  <si>
    <t>– Configurar entorno y librerías</t>
  </si>
  <si>
    <t>Predecesor 1.1.1</t>
  </si>
  <si>
    <t>Predecesor 1.1.2</t>
  </si>
  <si>
    <t>Predecesor 1.2.1</t>
  </si>
  <si>
    <t>Predecesor 2.1.1</t>
  </si>
  <si>
    <t>Predecesor 2.1.2</t>
  </si>
  <si>
    <t>Predecesor 2.3.1</t>
  </si>
  <si>
    <t>Predecesor 2.3.2</t>
  </si>
  <si>
    <t>Predecesor 3.1.1</t>
  </si>
  <si>
    <t>Predecesor 3.1.2</t>
  </si>
  <si>
    <t>Predecesor 3.2.2</t>
  </si>
  <si>
    <t>Predecesor 3.1.3</t>
  </si>
  <si>
    <t>Predecesor 3.2.1</t>
  </si>
  <si>
    <t>Predecesor 4.1.1</t>
  </si>
  <si>
    <t>LIMITES</t>
  </si>
  <si>
    <t>MINIMO</t>
  </si>
  <si>
    <t>MAXIMO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</si>
</sst>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mm/dd"/>
  </numFmts>
  <fonts count="16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1"/>
      <color theme="1"/>
      <name val="Century Gothic"/>
      <family val="1"/>
    </font>
    <font>
      <sz val="10"/>
      <color theme="0"/>
      <name val="Century Gothic"/>
      <family val="1"/>
    </font>
    <font>
      <sz val="12"/>
      <color theme="0"/>
      <name val="Century Gothic"/>
      <family val="1"/>
    </font>
    <font>
      <sz val="12"/>
      <color rgb="FF000000"/>
      <name val="Century Gothic"/>
      <family val="1"/>
    </font>
    <font>
      <sz val="12"/>
      <color theme="1"/>
      <name val="Century Gothic"/>
      <family val="1"/>
    </font>
    <font>
      <b/>
      <sz val="11"/>
      <color rgb="FF001033"/>
      <name val="Century Gothic"/>
      <family val="1"/>
    </font>
    <font>
      <b/>
      <sz val="10"/>
      <color rgb="FF001033"/>
      <name val="Century Gothic"/>
      <family val="1"/>
    </font>
    <font>
      <b/>
      <sz val="28"/>
      <color rgb="FF001033"/>
      <name val="Century Gothic"/>
      <family val="1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13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medium">
        <color rgb="FF00103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rgb="FF00103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rgb="FF001033"/>
      </top>
      <bottom style="thin">
        <color theme="0" tint="-0.249977111117893"/>
      </bottom>
      <diagonal/>
    </border>
    <border>
      <left style="medium">
        <color rgb="FF001033"/>
      </left>
      <right style="medium">
        <color rgb="FF001033"/>
      </right>
      <top style="medium">
        <color rgb="FF001033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69">
    <xf numFmtId="0" fontId="0" fillId="0" borderId="0" xfId="0"/>
    <xf numFmtId="0" fontId="4" fillId="2" borderId="0" xfId="0" applyFont="1" applyFill="1" applyAlignment="1">
      <alignment wrapText="1"/>
    </xf>
    <xf numFmtId="0" fontId="4" fillId="2" borderId="1" xfId="0" applyFont="1" applyFill="1" applyBorder="1" applyAlignment="1">
      <alignment horizontal="left" vertical="center" wrapText="1" indent="1"/>
    </xf>
    <xf numFmtId="0" fontId="5" fillId="2" borderId="1" xfId="0" applyFont="1" applyFill="1" applyBorder="1" applyAlignment="1">
      <alignment horizontal="left" vertical="center" wrapText="1" indent="1" readingOrder="1"/>
    </xf>
    <xf numFmtId="164" fontId="5" fillId="2" borderId="1" xfId="0" applyNumberFormat="1" applyFont="1" applyFill="1" applyBorder="1" applyAlignment="1">
      <alignment horizontal="left" vertical="center" wrapText="1" indent="1" readingOrder="1"/>
    </xf>
    <xf numFmtId="0" fontId="4" fillId="0" borderId="0" xfId="0" applyFont="1" applyAlignment="1">
      <alignment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8" fillId="0" borderId="1" xfId="0" applyFont="1" applyBorder="1" applyAlignment="1">
      <alignment horizontal="left" vertical="center" wrapText="1" indent="2"/>
    </xf>
    <xf numFmtId="0" fontId="8" fillId="0" borderId="2" xfId="0" applyFont="1" applyBorder="1" applyAlignment="1">
      <alignment horizontal="left" vertical="center" wrapText="1" indent="2"/>
    </xf>
    <xf numFmtId="0" fontId="4" fillId="2" borderId="2" xfId="0" applyFont="1" applyFill="1" applyBorder="1" applyAlignment="1">
      <alignment horizontal="left" vertical="center" wrapText="1" indent="1"/>
    </xf>
    <xf numFmtId="0" fontId="4" fillId="2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9" fillId="6" borderId="3" xfId="0" applyFont="1" applyFill="1" applyBorder="1" applyAlignment="1">
      <alignment horizontal="left" vertical="center" wrapText="1" indent="1"/>
    </xf>
    <xf numFmtId="0" fontId="4" fillId="7" borderId="3" xfId="0" applyFont="1" applyFill="1" applyBorder="1" applyAlignment="1">
      <alignment horizontal="left" vertical="center" wrapText="1" indent="1"/>
    </xf>
    <xf numFmtId="0" fontId="9" fillId="8" borderId="3" xfId="0" applyFont="1" applyFill="1" applyBorder="1" applyAlignment="1">
      <alignment horizontal="left" vertical="center" wrapText="1" indent="1"/>
    </xf>
    <xf numFmtId="0" fontId="10" fillId="6" borderId="3" xfId="0" applyFont="1" applyFill="1" applyBorder="1" applyAlignment="1">
      <alignment horizontal="left" vertical="center" wrapText="1" indent="1"/>
    </xf>
    <xf numFmtId="0" fontId="10" fillId="7" borderId="3" xfId="0" applyFont="1" applyFill="1" applyBorder="1" applyAlignment="1">
      <alignment horizontal="left" vertical="center" wrapText="1" indent="1"/>
    </xf>
    <xf numFmtId="0" fontId="10" fillId="8" borderId="3" xfId="0" applyFont="1" applyFill="1" applyBorder="1" applyAlignment="1">
      <alignment horizontal="left" vertical="center" wrapText="1" indent="1"/>
    </xf>
    <xf numFmtId="0" fontId="10" fillId="6" borderId="3" xfId="0" applyFont="1" applyFill="1" applyBorder="1" applyAlignment="1">
      <alignment horizontal="left" vertical="center" wrapText="1" indent="1" readingOrder="1"/>
    </xf>
    <xf numFmtId="164" fontId="10" fillId="6" borderId="3" xfId="0" applyNumberFormat="1" applyFont="1" applyFill="1" applyBorder="1" applyAlignment="1">
      <alignment horizontal="left" vertical="center" wrapText="1" indent="1"/>
    </xf>
    <xf numFmtId="165" fontId="10" fillId="6" borderId="3" xfId="0" applyNumberFormat="1" applyFont="1" applyFill="1" applyBorder="1" applyAlignment="1">
      <alignment horizontal="left" vertical="center" wrapText="1" indent="1" readingOrder="1"/>
    </xf>
    <xf numFmtId="165" fontId="10" fillId="6" borderId="3" xfId="0" applyNumberFormat="1" applyFont="1" applyFill="1" applyBorder="1" applyAlignment="1">
      <alignment horizontal="left" vertical="center" wrapText="1" indent="1"/>
    </xf>
    <xf numFmtId="1" fontId="10" fillId="6" borderId="3" xfId="0" applyNumberFormat="1" applyFont="1" applyFill="1" applyBorder="1" applyAlignment="1">
      <alignment horizontal="left" vertical="center" wrapText="1" indent="1"/>
    </xf>
    <xf numFmtId="0" fontId="11" fillId="7" borderId="3" xfId="0" applyFont="1" applyFill="1" applyBorder="1" applyAlignment="1">
      <alignment horizontal="left" vertical="center" wrapText="1" indent="1" readingOrder="1"/>
    </xf>
    <xf numFmtId="164" fontId="12" fillId="7" borderId="3" xfId="0" applyNumberFormat="1" applyFont="1" applyFill="1" applyBorder="1" applyAlignment="1">
      <alignment horizontal="left" vertical="center" wrapText="1" indent="1"/>
    </xf>
    <xf numFmtId="165" fontId="10" fillId="7" borderId="3" xfId="0" applyNumberFormat="1" applyFont="1" applyFill="1" applyBorder="1" applyAlignment="1">
      <alignment horizontal="left" vertical="center" wrapText="1" indent="1" readingOrder="1"/>
    </xf>
    <xf numFmtId="165" fontId="10" fillId="7" borderId="3" xfId="0" applyNumberFormat="1" applyFont="1" applyFill="1" applyBorder="1" applyAlignment="1">
      <alignment horizontal="left" vertical="center" wrapText="1" indent="1"/>
    </xf>
    <xf numFmtId="1" fontId="10" fillId="7" borderId="3" xfId="0" applyNumberFormat="1" applyFont="1" applyFill="1" applyBorder="1" applyAlignment="1">
      <alignment horizontal="left" vertical="center" wrapText="1" indent="1"/>
    </xf>
    <xf numFmtId="0" fontId="10" fillId="8" borderId="3" xfId="0" applyFont="1" applyFill="1" applyBorder="1" applyAlignment="1">
      <alignment horizontal="left" vertical="center" wrapText="1" indent="1" readingOrder="1"/>
    </xf>
    <xf numFmtId="164" fontId="10" fillId="8" borderId="3" xfId="0" applyNumberFormat="1" applyFont="1" applyFill="1" applyBorder="1" applyAlignment="1">
      <alignment horizontal="left" vertical="center" wrapText="1" indent="1"/>
    </xf>
    <xf numFmtId="165" fontId="10" fillId="8" borderId="3" xfId="0" applyNumberFormat="1" applyFont="1" applyFill="1" applyBorder="1" applyAlignment="1">
      <alignment horizontal="left" vertical="center" wrapText="1" indent="1" readingOrder="1"/>
    </xf>
    <xf numFmtId="165" fontId="10" fillId="8" borderId="3" xfId="0" applyNumberFormat="1" applyFont="1" applyFill="1" applyBorder="1" applyAlignment="1">
      <alignment horizontal="left" vertical="center" wrapText="1" indent="1"/>
    </xf>
    <xf numFmtId="1" fontId="10" fillId="8" borderId="3" xfId="0" applyNumberFormat="1" applyFont="1" applyFill="1" applyBorder="1" applyAlignment="1">
      <alignment horizontal="left" vertical="center" wrapText="1" indent="1"/>
    </xf>
    <xf numFmtId="0" fontId="4" fillId="0" borderId="4" xfId="0" applyFont="1" applyBorder="1" applyAlignment="1">
      <alignment horizontal="left" vertical="center" wrapText="1" indent="1"/>
    </xf>
    <xf numFmtId="0" fontId="4" fillId="2" borderId="5" xfId="0" applyFont="1" applyFill="1" applyBorder="1" applyAlignment="1">
      <alignment vertical="center" wrapText="1"/>
    </xf>
    <xf numFmtId="0" fontId="4" fillId="2" borderId="5" xfId="0" applyFont="1" applyFill="1" applyBorder="1" applyAlignment="1">
      <alignment wrapText="1"/>
    </xf>
    <xf numFmtId="0" fontId="10" fillId="5" borderId="3" xfId="0" applyFont="1" applyFill="1" applyBorder="1" applyAlignment="1">
      <alignment horizontal="left" vertical="center" wrapText="1" indent="1"/>
    </xf>
    <xf numFmtId="0" fontId="13" fillId="3" borderId="6" xfId="0" applyFont="1" applyFill="1" applyBorder="1" applyAlignment="1">
      <alignment horizontal="left" vertical="center" wrapText="1" indent="1"/>
    </xf>
    <xf numFmtId="0" fontId="6" fillId="5" borderId="3" xfId="0" applyFont="1" applyFill="1" applyBorder="1" applyAlignment="1">
      <alignment horizontal="left" vertical="center" wrapText="1" indent="1"/>
    </xf>
    <xf numFmtId="165" fontId="10" fillId="5" borderId="3" xfId="0" applyNumberFormat="1" applyFont="1" applyFill="1" applyBorder="1" applyAlignment="1">
      <alignment horizontal="left" vertical="center" wrapText="1" indent="1"/>
    </xf>
    <xf numFmtId="0" fontId="13" fillId="9" borderId="6" xfId="0" applyFont="1" applyFill="1" applyBorder="1" applyAlignment="1">
      <alignment horizontal="left" vertical="center" wrapText="1" indent="1"/>
    </xf>
    <xf numFmtId="0" fontId="13" fillId="9" borderId="4" xfId="0" applyFont="1" applyFill="1" applyBorder="1" applyAlignment="1">
      <alignment horizontal="left" vertical="center" wrapText="1" indent="1"/>
    </xf>
    <xf numFmtId="165" fontId="10" fillId="5" borderId="7" xfId="0" applyNumberFormat="1" applyFont="1" applyFill="1" applyBorder="1" applyAlignment="1">
      <alignment horizontal="left" vertical="center" wrapText="1" indent="1"/>
    </xf>
    <xf numFmtId="1" fontId="10" fillId="5" borderId="3" xfId="0" applyNumberFormat="1" applyFont="1" applyFill="1" applyBorder="1" applyAlignment="1">
      <alignment horizontal="left" vertical="center" wrapText="1" indent="1"/>
    </xf>
    <xf numFmtId="0" fontId="9" fillId="5" borderId="3" xfId="0" applyFont="1" applyFill="1" applyBorder="1" applyAlignment="1">
      <alignment horizontal="left" vertical="center" wrapText="1" indent="1"/>
    </xf>
    <xf numFmtId="165" fontId="5" fillId="0" borderId="1" xfId="0" applyNumberFormat="1" applyFont="1" applyBorder="1" applyAlignment="1">
      <alignment horizontal="left" vertical="center" wrapText="1" indent="1" readingOrder="1"/>
    </xf>
    <xf numFmtId="165" fontId="4" fillId="0" borderId="1" xfId="0" applyNumberFormat="1" applyFont="1" applyBorder="1" applyAlignment="1">
      <alignment horizontal="left" vertical="center" wrapText="1" indent="1"/>
    </xf>
    <xf numFmtId="165" fontId="5" fillId="0" borderId="2" xfId="0" applyNumberFormat="1" applyFont="1" applyBorder="1" applyAlignment="1">
      <alignment horizontal="left" vertical="center" wrapText="1" indent="1" readingOrder="1"/>
    </xf>
    <xf numFmtId="165" fontId="4" fillId="0" borderId="2" xfId="0" applyNumberFormat="1" applyFont="1" applyBorder="1" applyAlignment="1">
      <alignment horizontal="left" vertical="center" wrapText="1" indent="1"/>
    </xf>
    <xf numFmtId="1" fontId="4" fillId="10" borderId="1" xfId="0" applyNumberFormat="1" applyFont="1" applyFill="1" applyBorder="1" applyAlignment="1">
      <alignment horizontal="left" vertical="center" wrapText="1" indent="1"/>
    </xf>
    <xf numFmtId="1" fontId="4" fillId="11" borderId="1" xfId="0" applyNumberFormat="1" applyFont="1" applyFill="1" applyBorder="1" applyAlignment="1">
      <alignment horizontal="left" vertical="center" wrapText="1" indent="1"/>
    </xf>
    <xf numFmtId="1" fontId="4" fillId="12" borderId="1" xfId="0" applyNumberFormat="1" applyFont="1" applyFill="1" applyBorder="1" applyAlignment="1">
      <alignment horizontal="left" vertical="center" wrapText="1" indent="1"/>
    </xf>
    <xf numFmtId="0" fontId="4" fillId="0" borderId="6" xfId="0" applyFont="1" applyBorder="1" applyAlignment="1">
      <alignment horizontal="left" vertical="center" wrapText="1" indent="1"/>
    </xf>
    <xf numFmtId="165" fontId="4" fillId="0" borderId="4" xfId="0" applyNumberFormat="1" applyFont="1" applyBorder="1" applyAlignment="1">
      <alignment horizontal="left" vertical="center" wrapText="1" indent="1"/>
    </xf>
    <xf numFmtId="1" fontId="4" fillId="10" borderId="8" xfId="0" applyNumberFormat="1" applyFont="1" applyFill="1" applyBorder="1" applyAlignment="1">
      <alignment horizontal="left" vertical="center" wrapText="1" indent="1"/>
    </xf>
    <xf numFmtId="0" fontId="5" fillId="13" borderId="1" xfId="0" applyFont="1" applyFill="1" applyBorder="1" applyAlignment="1">
      <alignment horizontal="left" vertical="center" wrapText="1" indent="1" readingOrder="1"/>
    </xf>
    <xf numFmtId="0" fontId="4" fillId="4" borderId="3" xfId="0" applyFont="1" applyFill="1" applyBorder="1" applyAlignment="1">
      <alignment horizontal="left" vertical="center" wrapText="1" indent="1"/>
    </xf>
    <xf numFmtId="0" fontId="14" fillId="3" borderId="6" xfId="0" applyFont="1" applyFill="1" applyBorder="1" applyAlignment="1">
      <alignment horizontal="left" vertical="center" wrapText="1" indent="1"/>
    </xf>
    <xf numFmtId="0" fontId="10" fillId="5" borderId="0" xfId="0" applyFont="1" applyFill="1" applyAlignment="1">
      <alignment horizontal="left" vertical="center" indent="1"/>
    </xf>
    <xf numFmtId="0" fontId="5" fillId="14" borderId="1" xfId="0" applyFont="1" applyFill="1" applyBorder="1" applyAlignment="1">
      <alignment horizontal="left" vertical="center" wrapText="1" indent="1" readingOrder="1"/>
    </xf>
    <xf numFmtId="0" fontId="4" fillId="15" borderId="1" xfId="0" applyFont="1" applyFill="1" applyBorder="1" applyAlignment="1">
      <alignment horizontal="left" vertical="center" wrapText="1" indent="1"/>
    </xf>
    <xf numFmtId="0" fontId="15" fillId="2" borderId="0" xfId="0" applyFont="1" applyFill="1" applyAlignment="1">
      <alignment horizontal="center" vertical="center"/>
    </xf>
    <xf numFmtId="1" fontId="4" fillId="2" borderId="0" xfId="0" applyNumberFormat="1" applyFont="1" applyFill="1" applyAlignment="1">
      <alignment wrapText="1"/>
    </xf>
    <xf numFmtId="165" fontId="4" fillId="2" borderId="0" xfId="0" applyNumberFormat="1" applyFont="1" applyFill="1" applyAlignment="1">
      <alignment horizontal="left" vertical="center" wrapText="1"/>
    </xf>
    <xf numFmtId="0" fontId="4" fillId="2" borderId="0" xfId="0" applyFont="1" applyFill="1" applyAlignment="1">
      <alignment horizontal="center" wrapText="1"/>
    </xf>
    <xf numFmtId="165" fontId="4" fillId="2" borderId="0" xfId="0" applyNumberFormat="1" applyFont="1" applyFill="1" applyAlignment="1">
      <alignment horizontal="center" wrapText="1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Normal 2" xfId="5" xr:uid="{00000000-0005-0000-0000-000005000000}"/>
  </cellStyles>
  <dxfs count="24"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9" defaultPivotStyle="PivotStyleMedium4"/>
  <colors>
    <mruColors>
      <color rgb="FF007134"/>
      <color rgb="FF001033"/>
      <color rgb="FF03C15A"/>
      <color rgb="FFD1EEFF"/>
      <color rgb="FFEAEEF3"/>
      <color rgb="FFADC006"/>
      <color rgb="FFB3E481"/>
      <color rgb="FFA2D0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2800" b="1"/>
              <a:t>SOFTWARE</a:t>
            </a:r>
            <a:r>
              <a:rPr lang="es-CO" sz="2800" b="1" baseline="0"/>
              <a:t> DEL CUBO DE LEDS</a:t>
            </a:r>
            <a:endParaRPr lang="es-CO" sz="2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2487722001923616"/>
          <c:y val="0.16772351681648903"/>
          <c:w val="0.74172602667610898"/>
          <c:h val="0.8173104951856548"/>
        </c:manualLayout>
      </c:layout>
      <c:barChart>
        <c:barDir val="bar"/>
        <c:grouping val="stacked"/>
        <c:varyColors val="0"/>
        <c:ser>
          <c:idx val="0"/>
          <c:order val="0"/>
          <c:spPr>
            <a:noFill/>
            <a:ln>
              <a:noFill/>
            </a:ln>
            <a:effectLst/>
          </c:spPr>
          <c:invertIfNegative val="0"/>
          <c:cat>
            <c:strRef>
              <c:f>'PROYECTO SOFTWARE ARDUINO CUBO '!$C$8:$C$25</c:f>
              <c:strCache>
                <c:ptCount val="18"/>
                <c:pt idx="0">
                  <c:v>Concepción e Inicio del Proyecto</c:v>
                </c:pt>
                <c:pt idx="1">
                  <c:v>– Identificar funcionalidades del software</c:v>
                </c:pt>
                <c:pt idx="2">
                  <c:v>– Definir limitaciones técnicas</c:v>
                </c:pt>
                <c:pt idx="3">
                  <c:v>– Analizar memoria y pines del Arduino</c:v>
                </c:pt>
                <c:pt idx="4">
                  <c:v>Definición y Planificación del Proyecto</c:v>
                </c:pt>
                <c:pt idx="5">
                  <c:v>– Diseñar flujo general del programa</c:v>
                </c:pt>
                <c:pt idx="6">
                  <c:v>– Diseñar estructura de matriz 8x8x8</c:v>
                </c:pt>
                <c:pt idx="7">
                  <c:v>– Diseñar funciones básicas de control</c:v>
                </c:pt>
                <c:pt idx="8">
                  <c:v>– Diseñar funciones de figuras 2D y 3D</c:v>
                </c:pt>
                <c:pt idx="9">
                  <c:v>Lanzamiento y Ejecución del Proyecto</c:v>
                </c:pt>
                <c:pt idx="10">
                  <c:v>– Configurar entorno y librerías</c:v>
                </c:pt>
                <c:pt idx="11">
                  <c:v>– Programar control individual de LEDs</c:v>
                </c:pt>
                <c:pt idx="12">
                  <c:v>– Implementar manejo matricial 3D</c:v>
                </c:pt>
                <c:pt idx="13">
                  <c:v>– Programar animaciones básicas</c:v>
                </c:pt>
                <c:pt idx="14">
                  <c:v>– Optimizar temporización y rendimiento</c:v>
                </c:pt>
                <c:pt idx="15">
                  <c:v>Desempeño / Monitoreo del Proyecto</c:v>
                </c:pt>
                <c:pt idx="16">
                  <c:v>– Realizar pruebas individuales y de integración</c:v>
                </c:pt>
                <c:pt idx="17">
                  <c:v>– Documentar código y entregar versión final</c:v>
                </c:pt>
              </c:strCache>
            </c:strRef>
          </c:cat>
          <c:val>
            <c:numRef>
              <c:f>'PROYECTO SOFTWARE ARDUINO CUBO '!$F$8:$F$25</c:f>
              <c:numCache>
                <c:formatCode>mm/dd</c:formatCode>
                <c:ptCount val="18"/>
                <c:pt idx="0">
                  <c:v>46067</c:v>
                </c:pt>
                <c:pt idx="1">
                  <c:v>46067</c:v>
                </c:pt>
                <c:pt idx="2">
                  <c:v>46074</c:v>
                </c:pt>
                <c:pt idx="3">
                  <c:v>46079</c:v>
                </c:pt>
                <c:pt idx="4">
                  <c:v>46089</c:v>
                </c:pt>
                <c:pt idx="5">
                  <c:v>46089</c:v>
                </c:pt>
                <c:pt idx="6">
                  <c:v>46099</c:v>
                </c:pt>
                <c:pt idx="7">
                  <c:v>46107</c:v>
                </c:pt>
                <c:pt idx="8">
                  <c:v>46115</c:v>
                </c:pt>
                <c:pt idx="9">
                  <c:v>46123</c:v>
                </c:pt>
                <c:pt idx="10">
                  <c:v>46123</c:v>
                </c:pt>
                <c:pt idx="11">
                  <c:v>46128</c:v>
                </c:pt>
                <c:pt idx="12">
                  <c:v>46143</c:v>
                </c:pt>
                <c:pt idx="13">
                  <c:v>46158</c:v>
                </c:pt>
                <c:pt idx="14">
                  <c:v>46165</c:v>
                </c:pt>
                <c:pt idx="15">
                  <c:v>46169</c:v>
                </c:pt>
                <c:pt idx="16">
                  <c:v>46169</c:v>
                </c:pt>
                <c:pt idx="17">
                  <c:v>46171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B-4CCB-A17E-31B43F0CEC1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'PROYECTO SOFTWARE ARDUINO CUBO '!$C$8:$C$25</c:f>
              <c:strCache>
                <c:ptCount val="18"/>
                <c:pt idx="0">
                  <c:v>Concepción e Inicio del Proyecto</c:v>
                </c:pt>
                <c:pt idx="1">
                  <c:v>– Identificar funcionalidades del software</c:v>
                </c:pt>
                <c:pt idx="2">
                  <c:v>– Definir limitaciones técnicas</c:v>
                </c:pt>
                <c:pt idx="3">
                  <c:v>– Analizar memoria y pines del Arduino</c:v>
                </c:pt>
                <c:pt idx="4">
                  <c:v>Definición y Planificación del Proyecto</c:v>
                </c:pt>
                <c:pt idx="5">
                  <c:v>– Diseñar flujo general del programa</c:v>
                </c:pt>
                <c:pt idx="6">
                  <c:v>– Diseñar estructura de matriz 8x8x8</c:v>
                </c:pt>
                <c:pt idx="7">
                  <c:v>– Diseñar funciones básicas de control</c:v>
                </c:pt>
                <c:pt idx="8">
                  <c:v>– Diseñar funciones de figuras 2D y 3D</c:v>
                </c:pt>
                <c:pt idx="9">
                  <c:v>Lanzamiento y Ejecución del Proyecto</c:v>
                </c:pt>
                <c:pt idx="10">
                  <c:v>– Configurar entorno y librerías</c:v>
                </c:pt>
                <c:pt idx="11">
                  <c:v>– Programar control individual de LEDs</c:v>
                </c:pt>
                <c:pt idx="12">
                  <c:v>– Implementar manejo matricial 3D</c:v>
                </c:pt>
                <c:pt idx="13">
                  <c:v>– Programar animaciones básicas</c:v>
                </c:pt>
                <c:pt idx="14">
                  <c:v>– Optimizar temporización y rendimiento</c:v>
                </c:pt>
                <c:pt idx="15">
                  <c:v>Desempeño / Monitoreo del Proyecto</c:v>
                </c:pt>
                <c:pt idx="16">
                  <c:v>– Realizar pruebas individuales y de integración</c:v>
                </c:pt>
                <c:pt idx="17">
                  <c:v>– Documentar código y entregar versión final</c:v>
                </c:pt>
              </c:strCache>
            </c:strRef>
          </c:cat>
          <c:val>
            <c:numRef>
              <c:f>'PROYECTO SOFTWARE ARDUINO CUBO '!$H$8:$H$25</c:f>
              <c:numCache>
                <c:formatCode>0</c:formatCode>
                <c:ptCount val="18"/>
                <c:pt idx="0">
                  <c:v>22</c:v>
                </c:pt>
                <c:pt idx="1">
                  <c:v>7</c:v>
                </c:pt>
                <c:pt idx="2">
                  <c:v>5</c:v>
                </c:pt>
                <c:pt idx="3">
                  <c:v>10</c:v>
                </c:pt>
                <c:pt idx="4">
                  <c:v>34</c:v>
                </c:pt>
                <c:pt idx="5">
                  <c:v>10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46</c:v>
                </c:pt>
                <c:pt idx="10">
                  <c:v>5</c:v>
                </c:pt>
                <c:pt idx="11">
                  <c:v>15</c:v>
                </c:pt>
                <c:pt idx="12">
                  <c:v>15</c:v>
                </c:pt>
                <c:pt idx="13">
                  <c:v>7</c:v>
                </c:pt>
                <c:pt idx="14">
                  <c:v>4</c:v>
                </c:pt>
                <c:pt idx="15">
                  <c:v>3</c:v>
                </c:pt>
                <c:pt idx="16">
                  <c:v>2</c:v>
                </c:pt>
                <c:pt idx="1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EB-4CCB-A17E-31B43F0CEC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1965121343"/>
        <c:axId val="1965121823"/>
      </c:barChart>
      <c:catAx>
        <c:axId val="1965121343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5121823"/>
        <c:crosses val="autoZero"/>
        <c:auto val="1"/>
        <c:lblAlgn val="ctr"/>
        <c:lblOffset val="100"/>
        <c:noMultiLvlLbl val="0"/>
      </c:catAx>
      <c:valAx>
        <c:axId val="1965121823"/>
        <c:scaling>
          <c:orientation val="minMax"/>
          <c:max val="46171"/>
          <c:min val="46067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d\-mmmm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5121343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360588</xdr:colOff>
      <xdr:row>28</xdr:row>
      <xdr:rowOff>163286</xdr:rowOff>
    </xdr:from>
    <xdr:to>
      <xdr:col>11</xdr:col>
      <xdr:colOff>95250</xdr:colOff>
      <xdr:row>40</xdr:row>
      <xdr:rowOff>108856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16E38D48-9CA1-49BF-C482-53A0676B7C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onys\OneDrive\Documentos\Tareas\Gestion%20de%20proyectos\prueba.xlsx" TargetMode="External"/><Relationship Id="rId1" Type="http://schemas.openxmlformats.org/officeDocument/2006/relationships/externalLinkPath" Target="/Users/jonys/OneDrive/Documentos/Tareas/Gestion%20de%20proyectos/prueb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ample - Project Plan Template"/>
    </sheetNames>
    <sheetDataSet>
      <sheetData sheetId="0">
        <row r="7">
          <cell r="F7" t="str">
            <v>Fecha  inicio</v>
          </cell>
          <cell r="H7" t="str">
            <v>Duración (en días)</v>
          </cell>
        </row>
        <row r="8">
          <cell r="C8" t="str">
            <v>Concepción e Inicio del Proyecto</v>
          </cell>
          <cell r="F8">
            <v>45659</v>
          </cell>
          <cell r="H8">
            <v>39</v>
          </cell>
        </row>
        <row r="9">
          <cell r="C9" t="str">
            <v>– Acta de constitución del proyecto</v>
          </cell>
          <cell r="F9">
            <v>45659</v>
          </cell>
          <cell r="H9">
            <v>10</v>
          </cell>
        </row>
        <row r="10">
          <cell r="C10" t="str">
            <v>–– Revisiones del acta de constitución</v>
          </cell>
          <cell r="F10">
            <v>45664</v>
          </cell>
          <cell r="H10">
            <v>5</v>
          </cell>
        </row>
        <row r="11">
          <cell r="C11" t="str">
            <v>– Investigación</v>
          </cell>
          <cell r="F11">
            <v>45667</v>
          </cell>
          <cell r="H11">
            <v>45</v>
          </cell>
        </row>
        <row r="12">
          <cell r="C12" t="str">
            <v>– Proyecciones</v>
          </cell>
          <cell r="F12">
            <v>45667</v>
          </cell>
          <cell r="H12">
            <v>11</v>
          </cell>
        </row>
        <row r="13">
          <cell r="C13" t="str">
            <v>– Stakeholders</v>
          </cell>
          <cell r="F13">
            <v>45673</v>
          </cell>
          <cell r="H13">
            <v>14</v>
          </cell>
        </row>
        <row r="14">
          <cell r="C14" t="str">
            <v>– Lineamientos o directrices</v>
          </cell>
          <cell r="F14">
            <v>45676</v>
          </cell>
          <cell r="H14">
            <v>14</v>
          </cell>
        </row>
        <row r="15">
          <cell r="C15" t="str">
            <v>– Inicio del proyecto</v>
          </cell>
          <cell r="F15">
            <v>45679</v>
          </cell>
          <cell r="H15">
            <v>19</v>
          </cell>
        </row>
        <row r="16">
          <cell r="C16" t="str">
            <v>Definición y Planificación del Proyecto</v>
          </cell>
          <cell r="F16">
            <v>45685</v>
          </cell>
          <cell r="H16">
            <v>18</v>
          </cell>
        </row>
        <row r="17">
          <cell r="C17" t="str">
            <v>– Definición del alcance y establecimiento de objetivos</v>
          </cell>
          <cell r="F17">
            <v>45685</v>
          </cell>
          <cell r="H17">
            <v>10</v>
          </cell>
        </row>
        <row r="18">
          <cell r="C18" t="str">
            <v>– Presupuesto</v>
          </cell>
          <cell r="F18">
            <v>45688</v>
          </cell>
          <cell r="H18">
            <v>3</v>
          </cell>
        </row>
        <row r="19">
          <cell r="C19" t="str">
            <v>– Plan de comunicación</v>
          </cell>
          <cell r="F19">
            <v>45692</v>
          </cell>
          <cell r="H19">
            <v>9</v>
          </cell>
        </row>
        <row r="20">
          <cell r="C20" t="str">
            <v>– Gestión de riesgos</v>
          </cell>
          <cell r="F20">
            <v>45694</v>
          </cell>
          <cell r="H20">
            <v>9</v>
          </cell>
        </row>
        <row r="21">
          <cell r="C21" t="str">
            <v>Lanzamiento y Ejecución del Proyecto</v>
          </cell>
          <cell r="F21">
            <v>45706</v>
          </cell>
          <cell r="H21">
            <v>37</v>
          </cell>
        </row>
        <row r="22">
          <cell r="C22" t="str">
            <v>– Estado y seguimiento</v>
          </cell>
          <cell r="F22">
            <v>45706</v>
          </cell>
          <cell r="H22">
            <v>3</v>
          </cell>
        </row>
        <row r="23">
          <cell r="C23" t="str">
            <v>– Indicadores clave de desempeño (KPIs)</v>
          </cell>
          <cell r="F23">
            <v>45706</v>
          </cell>
          <cell r="H23">
            <v>6</v>
          </cell>
        </row>
        <row r="24">
          <cell r="C24" t="str">
            <v>–– Monitoreo</v>
          </cell>
          <cell r="F24">
            <v>45706</v>
          </cell>
          <cell r="H24">
            <v>9</v>
          </cell>
        </row>
        <row r="25">
          <cell r="C25" t="str">
            <v>–– Proyecciones</v>
          </cell>
          <cell r="F25">
            <v>45709</v>
          </cell>
          <cell r="H25">
            <v>3</v>
          </cell>
        </row>
        <row r="26">
          <cell r="C26" t="str">
            <v>– Actualizaciones del proyecto</v>
          </cell>
          <cell r="F26">
            <v>45710</v>
          </cell>
          <cell r="H26">
            <v>2</v>
          </cell>
        </row>
        <row r="27">
          <cell r="C27" t="str">
            <v>–– Actualización de gráficos</v>
          </cell>
          <cell r="F27">
            <v>45713</v>
          </cell>
          <cell r="H27">
            <v>30</v>
          </cell>
        </row>
        <row r="28">
          <cell r="C28" t="str">
            <v>Desempeño / Monitoreo del Proyecto</v>
          </cell>
          <cell r="F28">
            <v>45713</v>
          </cell>
          <cell r="H28">
            <v>30</v>
          </cell>
        </row>
        <row r="29">
          <cell r="C29" t="str">
            <v>– Objetivos del proyecto</v>
          </cell>
          <cell r="F29">
            <v>45713</v>
          </cell>
          <cell r="H29">
            <v>4</v>
          </cell>
        </row>
        <row r="30">
          <cell r="C30" t="str">
            <v>– Entregables de calidad</v>
          </cell>
          <cell r="F30">
            <v>45714</v>
          </cell>
          <cell r="H30">
            <v>6</v>
          </cell>
        </row>
        <row r="31">
          <cell r="C31" t="str">
            <v>– Seguimiento del esfuerzo y costos</v>
          </cell>
          <cell r="F31">
            <v>45713</v>
          </cell>
          <cell r="H31">
            <v>10</v>
          </cell>
        </row>
        <row r="32">
          <cell r="C32" t="str">
            <v>– Desempeño del proyecto</v>
          </cell>
          <cell r="F32">
            <v>45719</v>
          </cell>
          <cell r="H32">
            <v>24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  <pageSetUpPr fitToPage="1"/>
  </sheetPr>
  <dimension ref="A1:JV1077"/>
  <sheetViews>
    <sheetView showGridLines="0" tabSelected="1" topLeftCell="B1" zoomScale="70" zoomScaleNormal="70" workbookViewId="0">
      <pane ySplit="1" topLeftCell="A2" activePane="bottomLeft" state="frozen"/>
      <selection pane="bottomLeft" activeCell="M33" sqref="M33"/>
    </sheetView>
  </sheetViews>
  <sheetFormatPr baseColWidth="10" defaultColWidth="11" defaultRowHeight="13.5" outlineLevelRow="1" x14ac:dyDescent="0.25"/>
  <cols>
    <col min="1" max="1" width="3.375" style="5" customWidth="1"/>
    <col min="2" max="2" width="7.875" style="5" customWidth="1"/>
    <col min="3" max="3" width="57" style="5" bestFit="1" customWidth="1"/>
    <col min="4" max="4" width="12.875" style="5" customWidth="1"/>
    <col min="5" max="5" width="20.875" style="5" customWidth="1"/>
    <col min="6" max="6" width="15.25" style="5" customWidth="1"/>
    <col min="7" max="7" width="11.5" style="5" customWidth="1"/>
    <col min="8" max="8" width="11.875" style="5" customWidth="1"/>
    <col min="9" max="9" width="50.875" style="5" customWidth="1"/>
    <col min="10" max="10" width="3.375" style="5" customWidth="1"/>
    <col min="11" max="11" width="12.875" style="5" customWidth="1"/>
    <col min="12" max="17" width="11" style="5"/>
    <col min="18" max="18" width="9" style="5" customWidth="1"/>
    <col min="19" max="16384" width="11" style="5"/>
  </cols>
  <sheetData>
    <row r="1" spans="1:258" ht="57" customHeight="1" x14ac:dyDescent="0.25">
      <c r="A1" s="64" t="s">
        <v>46</v>
      </c>
      <c r="B1" s="64"/>
      <c r="C1" s="64"/>
      <c r="D1" s="64"/>
      <c r="E1" s="64"/>
      <c r="F1" s="64"/>
      <c r="G1" s="64"/>
      <c r="H1" s="64"/>
      <c r="I1"/>
      <c r="J1" s="1"/>
      <c r="K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s="14" customFormat="1" ht="18" customHeight="1" x14ac:dyDescent="0.25">
      <c r="A2" s="13"/>
      <c r="B2" s="13"/>
      <c r="C2" s="13" t="s">
        <v>14</v>
      </c>
      <c r="D2" s="13"/>
      <c r="E2" s="13" t="s">
        <v>16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  <c r="HQ2" s="13"/>
      <c r="HR2" s="13"/>
      <c r="HS2" s="13"/>
      <c r="HT2" s="13"/>
      <c r="HU2" s="13"/>
      <c r="HV2" s="13"/>
      <c r="HW2" s="13"/>
      <c r="HX2" s="13"/>
      <c r="HY2" s="13"/>
      <c r="HZ2" s="13"/>
      <c r="IA2" s="13"/>
      <c r="IB2" s="13"/>
      <c r="IC2" s="13"/>
      <c r="ID2" s="13"/>
      <c r="IE2" s="13"/>
      <c r="IF2" s="13"/>
      <c r="IG2" s="13"/>
      <c r="IH2" s="13"/>
      <c r="II2" s="13"/>
      <c r="IJ2" s="13"/>
      <c r="IK2" s="13"/>
      <c r="IL2" s="13"/>
      <c r="IM2" s="13"/>
      <c r="IN2" s="13"/>
      <c r="IO2" s="13"/>
      <c r="IP2" s="13"/>
      <c r="IQ2" s="13"/>
      <c r="IR2" s="13"/>
      <c r="IS2" s="13"/>
      <c r="IT2" s="13"/>
      <c r="IU2" s="13"/>
      <c r="IV2" s="13"/>
      <c r="IW2" s="13"/>
      <c r="IX2" s="13"/>
    </row>
    <row r="3" spans="1:258" ht="30" customHeight="1" thickBot="1" x14ac:dyDescent="0.3">
      <c r="A3" s="1"/>
      <c r="B3" s="1"/>
      <c r="C3" s="36" t="s">
        <v>46</v>
      </c>
      <c r="D3" s="1"/>
      <c r="E3" s="56">
        <v>46067</v>
      </c>
      <c r="F3" s="1"/>
      <c r="G3" s="1"/>
      <c r="H3" s="1" t="s">
        <v>18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</row>
    <row r="4" spans="1:258" s="14" customFormat="1" ht="18" customHeight="1" thickBot="1" x14ac:dyDescent="0.3">
      <c r="A4" s="13"/>
      <c r="B4" s="13"/>
      <c r="C4" s="37" t="s">
        <v>15</v>
      </c>
      <c r="D4" s="13"/>
      <c r="E4" s="37" t="s">
        <v>17</v>
      </c>
      <c r="F4" s="13"/>
      <c r="G4" s="13"/>
      <c r="H4" s="13" t="s">
        <v>19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13"/>
      <c r="CD4" s="13"/>
      <c r="CE4" s="13"/>
      <c r="CF4" s="13"/>
      <c r="CG4" s="13"/>
      <c r="CH4" s="13"/>
      <c r="CI4" s="13"/>
      <c r="CJ4" s="13"/>
      <c r="CK4" s="13"/>
      <c r="CL4" s="13"/>
      <c r="CM4" s="13"/>
      <c r="CN4" s="13"/>
      <c r="CO4" s="13"/>
      <c r="CP4" s="13"/>
      <c r="CQ4" s="13"/>
      <c r="CR4" s="13"/>
      <c r="CS4" s="13"/>
      <c r="CT4" s="13"/>
      <c r="CU4" s="13"/>
      <c r="CV4" s="13"/>
      <c r="CW4" s="13"/>
      <c r="CX4" s="13"/>
      <c r="CY4" s="13"/>
      <c r="CZ4" s="13"/>
      <c r="DA4" s="13"/>
      <c r="DB4" s="13"/>
      <c r="DC4" s="13"/>
      <c r="DD4" s="13"/>
      <c r="DE4" s="13"/>
      <c r="DF4" s="13"/>
      <c r="DG4" s="13"/>
      <c r="DH4" s="13"/>
      <c r="DI4" s="13"/>
      <c r="DJ4" s="13"/>
      <c r="DK4" s="13"/>
      <c r="DL4" s="13"/>
      <c r="DM4" s="13"/>
      <c r="DN4" s="13"/>
      <c r="DO4" s="13"/>
      <c r="DP4" s="13"/>
      <c r="DQ4" s="13"/>
      <c r="DR4" s="13"/>
      <c r="DS4" s="13"/>
      <c r="DT4" s="13"/>
      <c r="DU4" s="13"/>
      <c r="DV4" s="13"/>
      <c r="DW4" s="13"/>
      <c r="DX4" s="13"/>
      <c r="DY4" s="13"/>
      <c r="DZ4" s="13"/>
      <c r="EA4" s="13"/>
      <c r="EB4" s="13"/>
      <c r="EC4" s="13"/>
      <c r="ED4" s="13"/>
      <c r="EE4" s="13"/>
      <c r="EF4" s="13"/>
      <c r="EG4" s="13"/>
      <c r="EH4" s="13"/>
      <c r="EI4" s="13"/>
      <c r="EJ4" s="13"/>
      <c r="EK4" s="13"/>
      <c r="EL4" s="13"/>
      <c r="EM4" s="13"/>
      <c r="EN4" s="13"/>
      <c r="EO4" s="13"/>
      <c r="EP4" s="13"/>
      <c r="EQ4" s="13"/>
      <c r="ER4" s="13"/>
      <c r="ES4" s="13"/>
      <c r="ET4" s="13"/>
      <c r="EU4" s="13"/>
      <c r="EV4" s="13"/>
      <c r="EW4" s="13"/>
      <c r="EX4" s="13"/>
      <c r="EY4" s="13"/>
      <c r="EZ4" s="13"/>
      <c r="FA4" s="13"/>
      <c r="FB4" s="13"/>
      <c r="FC4" s="13"/>
      <c r="FD4" s="13"/>
      <c r="FE4" s="13"/>
      <c r="FF4" s="13"/>
      <c r="FG4" s="13"/>
      <c r="FH4" s="13"/>
      <c r="FI4" s="13"/>
      <c r="FJ4" s="13"/>
      <c r="FK4" s="13"/>
      <c r="FL4" s="13"/>
      <c r="FM4" s="13"/>
      <c r="FN4" s="13"/>
      <c r="FO4" s="13"/>
      <c r="FP4" s="13"/>
      <c r="FQ4" s="13"/>
      <c r="FR4" s="13"/>
      <c r="FS4" s="13"/>
      <c r="FT4" s="13"/>
      <c r="FU4" s="13"/>
      <c r="FV4" s="13"/>
      <c r="FW4" s="13"/>
      <c r="FX4" s="13"/>
      <c r="FY4" s="13"/>
      <c r="FZ4" s="13"/>
      <c r="GA4" s="13"/>
      <c r="GB4" s="13"/>
      <c r="GC4" s="13"/>
      <c r="GD4" s="13"/>
      <c r="GE4" s="13"/>
      <c r="GF4" s="13"/>
      <c r="GG4" s="13"/>
      <c r="GH4" s="13"/>
      <c r="GI4" s="13"/>
      <c r="GJ4" s="13"/>
      <c r="GK4" s="13"/>
      <c r="GL4" s="13"/>
      <c r="GM4" s="13"/>
      <c r="GN4" s="13"/>
      <c r="GO4" s="13"/>
      <c r="GP4" s="13"/>
      <c r="GQ4" s="13"/>
      <c r="GR4" s="13"/>
      <c r="GS4" s="13"/>
      <c r="GT4" s="13"/>
      <c r="GU4" s="13"/>
      <c r="GV4" s="13"/>
      <c r="GW4" s="13"/>
      <c r="GX4" s="13"/>
      <c r="GY4" s="13"/>
      <c r="GZ4" s="13"/>
      <c r="HA4" s="13"/>
      <c r="HB4" s="13"/>
      <c r="HC4" s="13"/>
      <c r="HD4" s="13"/>
      <c r="HE4" s="13"/>
      <c r="HF4" s="13"/>
      <c r="HG4" s="13"/>
      <c r="HH4" s="13"/>
      <c r="HI4" s="13"/>
      <c r="HJ4" s="13"/>
      <c r="HK4" s="13"/>
      <c r="HL4" s="13"/>
      <c r="HM4" s="13"/>
      <c r="HN4" s="13"/>
      <c r="HO4" s="13"/>
      <c r="HP4" s="13"/>
      <c r="HQ4" s="13"/>
      <c r="HR4" s="13"/>
      <c r="HS4" s="13"/>
      <c r="HT4" s="13"/>
      <c r="HU4" s="13"/>
      <c r="HV4" s="13"/>
      <c r="HW4" s="13"/>
      <c r="HX4" s="13"/>
      <c r="HY4" s="13"/>
      <c r="HZ4" s="13"/>
      <c r="IA4" s="13"/>
      <c r="IB4" s="13"/>
      <c r="IC4" s="13"/>
      <c r="ID4" s="13"/>
      <c r="IE4" s="13"/>
      <c r="IF4" s="13"/>
      <c r="IG4" s="13"/>
      <c r="IH4" s="13"/>
      <c r="II4" s="13"/>
      <c r="IJ4" s="13"/>
      <c r="IK4" s="13"/>
      <c r="IL4" s="13"/>
      <c r="IM4" s="13"/>
      <c r="IN4" s="13"/>
      <c r="IO4" s="13"/>
      <c r="IP4" s="13"/>
      <c r="IQ4" s="13"/>
      <c r="IR4" s="13"/>
      <c r="IS4" s="13"/>
      <c r="IT4" s="13"/>
      <c r="IU4" s="13"/>
      <c r="IV4" s="13"/>
      <c r="IW4" s="13"/>
      <c r="IX4" s="13"/>
    </row>
    <row r="5" spans="1:258" ht="30" customHeight="1" thickBot="1" x14ac:dyDescent="0.3">
      <c r="A5" s="1"/>
      <c r="B5" s="1"/>
      <c r="C5" s="55" t="s">
        <v>47</v>
      </c>
      <c r="D5" s="1"/>
      <c r="E5" s="56">
        <v>46172</v>
      </c>
      <c r="F5" s="1"/>
      <c r="G5" s="1"/>
      <c r="H5" s="57">
        <f>IF(E3=0,0,E5-E3)+1</f>
        <v>106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x14ac:dyDescent="0.25">
      <c r="A6" s="1"/>
      <c r="B6" s="1"/>
      <c r="C6" s="1"/>
      <c r="D6" s="1"/>
      <c r="E6" s="38"/>
      <c r="F6" s="1"/>
      <c r="G6" s="1"/>
      <c r="H6" s="38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s="9" customFormat="1" ht="35.1" customHeight="1" thickBot="1" x14ac:dyDescent="0.3">
      <c r="A7" s="8"/>
      <c r="B7" s="40" t="s">
        <v>2</v>
      </c>
      <c r="C7" s="40" t="s">
        <v>7</v>
      </c>
      <c r="D7" s="40" t="s">
        <v>8</v>
      </c>
      <c r="E7" s="40" t="s">
        <v>9</v>
      </c>
      <c r="F7" s="43" t="s">
        <v>10</v>
      </c>
      <c r="G7" s="44" t="s">
        <v>11</v>
      </c>
      <c r="H7" s="40" t="s">
        <v>12</v>
      </c>
      <c r="I7" s="40" t="s">
        <v>13</v>
      </c>
      <c r="J7" s="8"/>
      <c r="K7" s="60" t="s">
        <v>8</v>
      </c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  <c r="DC7" s="8"/>
      <c r="DD7" s="8"/>
      <c r="DE7" s="8"/>
      <c r="DF7" s="8"/>
      <c r="DG7" s="8"/>
      <c r="DH7" s="8"/>
      <c r="DI7" s="8"/>
      <c r="DJ7" s="8"/>
      <c r="DK7" s="8"/>
      <c r="DL7" s="8"/>
      <c r="DM7" s="8"/>
      <c r="DN7" s="8"/>
      <c r="DO7" s="8"/>
      <c r="DP7" s="8"/>
      <c r="DQ7" s="8"/>
      <c r="DR7" s="8"/>
      <c r="DS7" s="8"/>
      <c r="DT7" s="8"/>
      <c r="DU7" s="8"/>
      <c r="DV7" s="8"/>
      <c r="DW7" s="8"/>
      <c r="DX7" s="8"/>
      <c r="DY7" s="8"/>
      <c r="DZ7" s="8"/>
      <c r="EA7" s="8"/>
      <c r="EB7" s="8"/>
      <c r="EC7" s="8"/>
      <c r="ED7" s="8"/>
      <c r="EE7" s="8"/>
      <c r="EF7" s="8"/>
      <c r="EG7" s="8"/>
      <c r="EH7" s="8"/>
      <c r="EI7" s="8"/>
      <c r="EJ7" s="8"/>
      <c r="EK7" s="8"/>
      <c r="EL7" s="8"/>
      <c r="EM7" s="8"/>
      <c r="EN7" s="8"/>
      <c r="EO7" s="8"/>
      <c r="EP7" s="8"/>
      <c r="EQ7" s="8"/>
      <c r="ER7" s="8"/>
      <c r="ES7" s="8"/>
      <c r="ET7" s="8"/>
      <c r="EU7" s="8"/>
      <c r="EV7" s="8"/>
      <c r="EW7" s="8"/>
      <c r="EX7" s="8"/>
      <c r="EY7" s="8"/>
      <c r="EZ7" s="8"/>
      <c r="FA7" s="8"/>
      <c r="FB7" s="8"/>
      <c r="FC7" s="8"/>
      <c r="FD7" s="8"/>
      <c r="FE7" s="8"/>
      <c r="FF7" s="8"/>
      <c r="FG7" s="8"/>
      <c r="FH7" s="8"/>
      <c r="FI7" s="8"/>
      <c r="FJ7" s="8"/>
      <c r="FK7" s="8"/>
      <c r="FL7" s="8"/>
      <c r="FM7" s="8"/>
      <c r="FN7" s="8"/>
      <c r="FO7" s="8"/>
      <c r="FP7" s="8"/>
      <c r="FQ7" s="8"/>
      <c r="FR7" s="8"/>
      <c r="FS7" s="8"/>
      <c r="FT7" s="8"/>
      <c r="FU7" s="8"/>
      <c r="FV7" s="8"/>
      <c r="FW7" s="8"/>
      <c r="FX7" s="8"/>
      <c r="FY7" s="8"/>
      <c r="FZ7" s="8"/>
      <c r="GA7" s="8"/>
      <c r="GB7" s="8"/>
      <c r="GC7" s="8"/>
      <c r="GD7" s="8"/>
      <c r="GE7" s="8"/>
      <c r="GF7" s="8"/>
      <c r="GG7" s="8"/>
      <c r="GH7" s="8"/>
      <c r="GI7" s="8"/>
      <c r="GJ7" s="8"/>
      <c r="GK7" s="8"/>
      <c r="GL7" s="8"/>
      <c r="GM7" s="8"/>
      <c r="GN7" s="8"/>
      <c r="GO7" s="8"/>
      <c r="GP7" s="8"/>
      <c r="GQ7" s="8"/>
      <c r="GR7" s="8"/>
      <c r="GS7" s="8"/>
      <c r="GT7" s="8"/>
      <c r="GU7" s="8"/>
      <c r="GV7" s="8"/>
      <c r="GW7" s="8"/>
      <c r="GX7" s="8"/>
      <c r="GY7" s="8"/>
      <c r="GZ7" s="8"/>
      <c r="HA7" s="8"/>
      <c r="HB7" s="8"/>
      <c r="HC7" s="8"/>
      <c r="HD7" s="8"/>
      <c r="HE7" s="8"/>
      <c r="HF7" s="8"/>
      <c r="HG7" s="8"/>
      <c r="HH7" s="8"/>
      <c r="HI7" s="8"/>
      <c r="HJ7" s="8"/>
      <c r="HK7" s="8"/>
      <c r="HL7" s="8"/>
      <c r="HM7" s="8"/>
      <c r="HN7" s="8"/>
      <c r="HO7" s="8"/>
      <c r="HP7" s="8"/>
      <c r="HQ7" s="8"/>
      <c r="HR7" s="8"/>
      <c r="HS7" s="8"/>
      <c r="HT7" s="8"/>
      <c r="HU7" s="8"/>
      <c r="HV7" s="8"/>
      <c r="HW7" s="8"/>
      <c r="HX7" s="8"/>
      <c r="HY7" s="8"/>
      <c r="HZ7" s="8"/>
      <c r="IA7" s="8"/>
      <c r="IB7" s="8"/>
      <c r="IC7" s="8"/>
      <c r="ID7" s="8"/>
      <c r="IE7" s="8"/>
      <c r="IF7" s="8"/>
      <c r="IG7" s="8"/>
      <c r="IH7" s="8"/>
      <c r="II7" s="8"/>
      <c r="IJ7" s="8"/>
      <c r="IK7" s="8"/>
      <c r="IL7" s="8"/>
      <c r="IM7" s="8"/>
      <c r="IN7" s="8"/>
      <c r="IO7" s="8"/>
      <c r="IP7" s="8"/>
      <c r="IQ7" s="8"/>
      <c r="IR7" s="8"/>
      <c r="IS7" s="8"/>
      <c r="IT7" s="8"/>
      <c r="IU7" s="8"/>
      <c r="IV7" s="8"/>
      <c r="IW7" s="8"/>
      <c r="IX7" s="8"/>
    </row>
    <row r="8" spans="1:258" s="7" customFormat="1" ht="24.95" customHeight="1" x14ac:dyDescent="0.25">
      <c r="A8" s="6"/>
      <c r="B8" s="39">
        <v>1</v>
      </c>
      <c r="C8" s="61" t="s">
        <v>3</v>
      </c>
      <c r="D8" s="58" t="s">
        <v>21</v>
      </c>
      <c r="E8" s="41" t="s">
        <v>28</v>
      </c>
      <c r="F8" s="42">
        <v>46067</v>
      </c>
      <c r="G8" s="45">
        <v>46088</v>
      </c>
      <c r="H8" s="46">
        <f>IF(F8=0,0,G8-F8)+1</f>
        <v>22</v>
      </c>
      <c r="I8" s="47"/>
      <c r="J8" s="6"/>
      <c r="K8" s="59" t="s">
        <v>22</v>
      </c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  <c r="IX8" s="6"/>
    </row>
    <row r="9" spans="1:258" s="7" customFormat="1" ht="24.95" customHeight="1" outlineLevel="1" x14ac:dyDescent="0.25">
      <c r="A9" s="6"/>
      <c r="B9" s="2" t="s">
        <v>32</v>
      </c>
      <c r="C9" s="10" t="s">
        <v>24</v>
      </c>
      <c r="D9" s="3" t="s">
        <v>20</v>
      </c>
      <c r="E9" s="4" t="s">
        <v>28</v>
      </c>
      <c r="F9" s="48">
        <v>46067</v>
      </c>
      <c r="G9" s="48">
        <v>46073</v>
      </c>
      <c r="H9" s="52">
        <f>IF(F9=0,0,G9-F9)+1</f>
        <v>7</v>
      </c>
      <c r="J9" s="6"/>
      <c r="K9" s="58" t="s">
        <v>21</v>
      </c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  <c r="IX9" s="6"/>
    </row>
    <row r="10" spans="1:258" s="7" customFormat="1" ht="24.95" customHeight="1" outlineLevel="1" x14ac:dyDescent="0.25">
      <c r="A10" s="6"/>
      <c r="B10" s="2" t="s">
        <v>33</v>
      </c>
      <c r="C10" s="10" t="s">
        <v>25</v>
      </c>
      <c r="D10" s="3" t="s">
        <v>20</v>
      </c>
      <c r="E10" s="4" t="s">
        <v>28</v>
      </c>
      <c r="F10" s="48">
        <v>46074</v>
      </c>
      <c r="G10" s="48">
        <v>46078</v>
      </c>
      <c r="H10" s="52">
        <f t="shared" ref="H10:H25" si="0">IF(F10=0,0,G10-F10)+1</f>
        <v>5</v>
      </c>
      <c r="I10" s="2" t="s">
        <v>53</v>
      </c>
      <c r="J10" s="6"/>
      <c r="K10" s="62" t="s">
        <v>20</v>
      </c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</row>
    <row r="11" spans="1:258" s="7" customFormat="1" ht="24.95" customHeight="1" outlineLevel="1" x14ac:dyDescent="0.25">
      <c r="A11" s="6"/>
      <c r="B11" s="2" t="s">
        <v>34</v>
      </c>
      <c r="C11" s="10" t="s">
        <v>26</v>
      </c>
      <c r="D11" s="3" t="s">
        <v>20</v>
      </c>
      <c r="E11" s="4" t="s">
        <v>28</v>
      </c>
      <c r="F11" s="48">
        <v>46079</v>
      </c>
      <c r="G11" s="48">
        <v>46088</v>
      </c>
      <c r="H11" s="52">
        <f t="shared" si="0"/>
        <v>10</v>
      </c>
      <c r="I11" s="2" t="s">
        <v>54</v>
      </c>
      <c r="J11" s="6"/>
      <c r="K11" s="63" t="s">
        <v>23</v>
      </c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  <c r="IM11" s="6"/>
      <c r="IN11" s="6"/>
      <c r="IO11" s="6"/>
      <c r="IP11" s="6"/>
      <c r="IQ11" s="6"/>
      <c r="IR11" s="6"/>
      <c r="IS11" s="6"/>
      <c r="IT11" s="6"/>
      <c r="IU11" s="6"/>
      <c r="IV11" s="6"/>
      <c r="IW11" s="6"/>
      <c r="IX11" s="6"/>
    </row>
    <row r="12" spans="1:258" s="7" customFormat="1" ht="34.5" x14ac:dyDescent="0.25">
      <c r="A12" s="6"/>
      <c r="B12" s="18">
        <v>2</v>
      </c>
      <c r="C12" s="18" t="s">
        <v>4</v>
      </c>
      <c r="D12" s="21" t="s">
        <v>21</v>
      </c>
      <c r="E12" s="22" t="s">
        <v>28</v>
      </c>
      <c r="F12" s="23">
        <v>46089</v>
      </c>
      <c r="G12" s="24">
        <v>46122</v>
      </c>
      <c r="H12" s="25">
        <f>IF(F12=0,0,G12-F12)+1</f>
        <v>34</v>
      </c>
      <c r="I12" s="15"/>
      <c r="J12" s="6"/>
      <c r="K12" s="1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/>
      <c r="IM12" s="6"/>
      <c r="IN12" s="6"/>
      <c r="IO12" s="6"/>
      <c r="IP12" s="6"/>
      <c r="IQ12" s="6"/>
      <c r="IR12" s="6"/>
      <c r="IS12" s="6"/>
      <c r="IT12" s="6"/>
      <c r="IU12" s="6"/>
      <c r="IV12" s="6"/>
      <c r="IW12" s="6"/>
      <c r="IX12" s="6"/>
    </row>
    <row r="13" spans="1:258" s="7" customFormat="1" ht="24.95" customHeight="1" outlineLevel="1" x14ac:dyDescent="0.25">
      <c r="A13" s="6"/>
      <c r="B13" s="2" t="s">
        <v>35</v>
      </c>
      <c r="C13" s="10" t="s">
        <v>27</v>
      </c>
      <c r="D13" s="3" t="s">
        <v>20</v>
      </c>
      <c r="E13" s="4" t="s">
        <v>28</v>
      </c>
      <c r="F13" s="48">
        <v>46089</v>
      </c>
      <c r="G13" s="48">
        <v>46098</v>
      </c>
      <c r="H13" s="52">
        <f t="shared" si="0"/>
        <v>10</v>
      </c>
      <c r="I13" s="2" t="s">
        <v>55</v>
      </c>
      <c r="J13" s="6"/>
      <c r="K13" s="1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  <c r="IM13" s="6"/>
      <c r="IN13" s="6"/>
      <c r="IO13" s="6"/>
      <c r="IP13" s="6"/>
      <c r="IQ13" s="6"/>
      <c r="IR13" s="6"/>
      <c r="IS13" s="6"/>
      <c r="IT13" s="6"/>
      <c r="IU13" s="6"/>
      <c r="IV13" s="6"/>
      <c r="IW13" s="6"/>
      <c r="IX13" s="6"/>
    </row>
    <row r="14" spans="1:258" s="7" customFormat="1" ht="24.95" customHeight="1" outlineLevel="1" x14ac:dyDescent="0.25">
      <c r="A14" s="6"/>
      <c r="B14" s="2" t="s">
        <v>36</v>
      </c>
      <c r="C14" s="10" t="s">
        <v>29</v>
      </c>
      <c r="D14" s="3" t="s">
        <v>22</v>
      </c>
      <c r="E14" s="4" t="s">
        <v>28</v>
      </c>
      <c r="F14" s="48">
        <v>46099</v>
      </c>
      <c r="G14" s="48">
        <v>46106</v>
      </c>
      <c r="H14" s="52">
        <f t="shared" si="0"/>
        <v>8</v>
      </c>
      <c r="I14" s="2" t="s">
        <v>56</v>
      </c>
      <c r="J14" s="6"/>
      <c r="K14" s="1"/>
      <c r="L14" s="6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  <c r="HU14" s="6"/>
      <c r="HV14" s="6"/>
      <c r="HW14" s="6"/>
      <c r="HX14" s="6"/>
      <c r="HY14" s="6"/>
      <c r="HZ14" s="6"/>
      <c r="IA14" s="6"/>
      <c r="IB14" s="6"/>
      <c r="IC14" s="6"/>
      <c r="ID14" s="6"/>
      <c r="IE14" s="6"/>
      <c r="IF14" s="6"/>
      <c r="IG14" s="6"/>
      <c r="IH14" s="6"/>
      <c r="II14" s="6"/>
      <c r="IJ14" s="6"/>
      <c r="IK14" s="6"/>
      <c r="IL14" s="6"/>
      <c r="IM14" s="6"/>
      <c r="IN14" s="6"/>
      <c r="IO14" s="6"/>
      <c r="IP14" s="6"/>
      <c r="IQ14" s="6"/>
      <c r="IR14" s="6"/>
      <c r="IS14" s="6"/>
      <c r="IT14" s="6"/>
      <c r="IU14" s="6"/>
      <c r="IV14" s="6"/>
      <c r="IW14" s="6"/>
      <c r="IX14" s="6"/>
    </row>
    <row r="15" spans="1:258" s="7" customFormat="1" ht="24.95" customHeight="1" outlineLevel="1" x14ac:dyDescent="0.25">
      <c r="A15" s="6"/>
      <c r="B15" s="2" t="s">
        <v>37</v>
      </c>
      <c r="C15" s="10" t="s">
        <v>30</v>
      </c>
      <c r="D15" s="59" t="s">
        <v>22</v>
      </c>
      <c r="E15" s="4" t="s">
        <v>28</v>
      </c>
      <c r="F15" s="48">
        <v>46107</v>
      </c>
      <c r="G15" s="49">
        <v>46114</v>
      </c>
      <c r="H15" s="52">
        <f t="shared" si="0"/>
        <v>8</v>
      </c>
      <c r="I15" s="2" t="s">
        <v>57</v>
      </c>
      <c r="J15" s="6"/>
      <c r="K15" s="1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  <c r="HU15" s="6"/>
      <c r="HV15" s="6"/>
      <c r="HW15" s="6"/>
      <c r="HX15" s="6"/>
      <c r="HY15" s="6"/>
      <c r="HZ15" s="6"/>
      <c r="IA15" s="6"/>
      <c r="IB15" s="6"/>
      <c r="IC15" s="6"/>
      <c r="ID15" s="6"/>
      <c r="IE15" s="6"/>
      <c r="IF15" s="6"/>
      <c r="IG15" s="6"/>
      <c r="IH15" s="6"/>
      <c r="II15" s="6"/>
      <c r="IJ15" s="6"/>
      <c r="IK15" s="6"/>
      <c r="IL15" s="6"/>
      <c r="IM15" s="6"/>
      <c r="IN15" s="6"/>
      <c r="IO15" s="6"/>
      <c r="IP15" s="6"/>
      <c r="IQ15" s="6"/>
      <c r="IR15" s="6"/>
      <c r="IS15" s="6"/>
      <c r="IT15" s="6"/>
      <c r="IU15" s="6"/>
      <c r="IV15" s="6"/>
      <c r="IW15" s="6"/>
      <c r="IX15" s="6"/>
    </row>
    <row r="16" spans="1:258" s="7" customFormat="1" ht="24.95" customHeight="1" outlineLevel="1" thickBot="1" x14ac:dyDescent="0.3">
      <c r="A16" s="6"/>
      <c r="B16" s="12" t="s">
        <v>38</v>
      </c>
      <c r="C16" s="11" t="s">
        <v>31</v>
      </c>
      <c r="D16" s="59" t="s">
        <v>22</v>
      </c>
      <c r="E16" s="4" t="s">
        <v>28</v>
      </c>
      <c r="F16" s="50">
        <v>46115</v>
      </c>
      <c r="G16" s="51">
        <v>46122</v>
      </c>
      <c r="H16" s="52">
        <f t="shared" si="0"/>
        <v>8</v>
      </c>
      <c r="I16" s="2" t="s">
        <v>58</v>
      </c>
      <c r="J16" s="6"/>
      <c r="K16" s="1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  <c r="IV16" s="6"/>
      <c r="IW16" s="6"/>
      <c r="IX16" s="6"/>
    </row>
    <row r="17" spans="1:258" s="7" customFormat="1" ht="34.5" x14ac:dyDescent="0.25">
      <c r="A17" s="6"/>
      <c r="B17" s="19">
        <v>3</v>
      </c>
      <c r="C17" s="19" t="s">
        <v>5</v>
      </c>
      <c r="D17" s="26" t="s">
        <v>22</v>
      </c>
      <c r="E17" s="27" t="s">
        <v>28</v>
      </c>
      <c r="F17" s="28">
        <v>46123</v>
      </c>
      <c r="G17" s="29">
        <v>46168</v>
      </c>
      <c r="H17" s="30">
        <f>IF(F17=0,0,G17-F17)+1</f>
        <v>46</v>
      </c>
      <c r="I17" s="16"/>
      <c r="J17" s="6"/>
      <c r="K17" s="1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  <c r="IV17" s="6"/>
      <c r="IW17" s="6"/>
      <c r="IX17" s="6"/>
    </row>
    <row r="18" spans="1:258" s="7" customFormat="1" ht="24.95" customHeight="1" outlineLevel="1" x14ac:dyDescent="0.25">
      <c r="A18" s="6"/>
      <c r="B18" s="2" t="s">
        <v>39</v>
      </c>
      <c r="C18" s="10" t="s">
        <v>52</v>
      </c>
      <c r="D18" s="3" t="s">
        <v>22</v>
      </c>
      <c r="E18" s="4" t="s">
        <v>28</v>
      </c>
      <c r="F18" s="48">
        <v>46123</v>
      </c>
      <c r="G18" s="49">
        <v>46127</v>
      </c>
      <c r="H18" s="53">
        <f t="shared" si="0"/>
        <v>5</v>
      </c>
      <c r="I18" s="2" t="s">
        <v>59</v>
      </c>
      <c r="J18" s="6"/>
      <c r="K18" s="1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  <c r="IV18" s="6"/>
      <c r="IW18" s="6"/>
      <c r="IX18" s="6"/>
    </row>
    <row r="19" spans="1:258" s="7" customFormat="1" ht="24.95" customHeight="1" outlineLevel="1" x14ac:dyDescent="0.25">
      <c r="A19" s="6"/>
      <c r="B19" s="2" t="s">
        <v>40</v>
      </c>
      <c r="C19" s="10" t="s">
        <v>43</v>
      </c>
      <c r="D19" s="3" t="s">
        <v>22</v>
      </c>
      <c r="E19" s="4" t="s">
        <v>28</v>
      </c>
      <c r="F19" s="48">
        <v>46128</v>
      </c>
      <c r="G19" s="49">
        <v>46142</v>
      </c>
      <c r="H19" s="53">
        <f t="shared" si="0"/>
        <v>15</v>
      </c>
      <c r="I19" s="2" t="s">
        <v>60</v>
      </c>
      <c r="J19" s="6"/>
      <c r="K19" s="1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  <c r="IV19" s="6"/>
      <c r="IW19" s="6"/>
      <c r="IX19" s="6"/>
    </row>
    <row r="20" spans="1:258" s="7" customFormat="1" ht="24.95" customHeight="1" outlineLevel="1" x14ac:dyDescent="0.25">
      <c r="A20" s="6"/>
      <c r="B20" s="2" t="s">
        <v>41</v>
      </c>
      <c r="C20" s="10" t="s">
        <v>44</v>
      </c>
      <c r="D20" s="3" t="s">
        <v>22</v>
      </c>
      <c r="E20" s="4" t="s">
        <v>28</v>
      </c>
      <c r="F20" s="48">
        <v>46143</v>
      </c>
      <c r="G20" s="49">
        <v>46157</v>
      </c>
      <c r="H20" s="53">
        <f t="shared" si="0"/>
        <v>15</v>
      </c>
      <c r="I20" s="2" t="s">
        <v>61</v>
      </c>
      <c r="J20" s="6"/>
      <c r="K20" s="1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  <c r="HT20" s="6"/>
      <c r="HU20" s="6"/>
      <c r="HV20" s="6"/>
      <c r="HW20" s="6"/>
      <c r="HX20" s="6"/>
      <c r="HY20" s="6"/>
      <c r="HZ20" s="6"/>
      <c r="IA20" s="6"/>
      <c r="IB20" s="6"/>
      <c r="IC20" s="6"/>
      <c r="ID20" s="6"/>
      <c r="IE20" s="6"/>
      <c r="IF20" s="6"/>
      <c r="IG20" s="6"/>
      <c r="IH20" s="6"/>
      <c r="II20" s="6"/>
      <c r="IJ20" s="6"/>
      <c r="IK20" s="6"/>
      <c r="IL20" s="6"/>
      <c r="IM20" s="6"/>
      <c r="IN20" s="6"/>
      <c r="IO20" s="6"/>
      <c r="IP20" s="6"/>
      <c r="IQ20" s="6"/>
      <c r="IR20" s="6"/>
      <c r="IS20" s="6"/>
      <c r="IT20" s="6"/>
      <c r="IU20" s="6"/>
      <c r="IV20" s="6"/>
      <c r="IW20" s="6"/>
      <c r="IX20" s="6"/>
    </row>
    <row r="21" spans="1:258" s="7" customFormat="1" ht="24.95" customHeight="1" outlineLevel="1" thickBot="1" x14ac:dyDescent="0.3">
      <c r="A21" s="6"/>
      <c r="B21" s="12" t="s">
        <v>0</v>
      </c>
      <c r="C21" s="11" t="s">
        <v>48</v>
      </c>
      <c r="D21" s="3" t="s">
        <v>22</v>
      </c>
      <c r="E21" s="4" t="s">
        <v>28</v>
      </c>
      <c r="F21" s="50">
        <v>46158</v>
      </c>
      <c r="G21" s="51">
        <v>46164</v>
      </c>
      <c r="H21" s="53">
        <f t="shared" si="0"/>
        <v>7</v>
      </c>
      <c r="I21" s="2" t="s">
        <v>63</v>
      </c>
      <c r="J21" s="6"/>
      <c r="K21" s="1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  <c r="EV21" s="6"/>
      <c r="EW21" s="6"/>
      <c r="EX21" s="6"/>
      <c r="EY21" s="6"/>
      <c r="EZ21" s="6"/>
      <c r="FA21" s="6"/>
      <c r="FB21" s="6"/>
      <c r="FC21" s="6"/>
      <c r="FD21" s="6"/>
      <c r="FE21" s="6"/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  <c r="FX21" s="6"/>
      <c r="FY21" s="6"/>
      <c r="FZ21" s="6"/>
      <c r="GA21" s="6"/>
      <c r="GB21" s="6"/>
      <c r="GC21" s="6"/>
      <c r="GD21" s="6"/>
      <c r="GE21" s="6"/>
      <c r="GF21" s="6"/>
      <c r="GG21" s="6"/>
      <c r="GH21" s="6"/>
      <c r="GI21" s="6"/>
      <c r="GJ21" s="6"/>
      <c r="GK21" s="6"/>
      <c r="GL21" s="6"/>
      <c r="GM21" s="6"/>
      <c r="GN21" s="6"/>
      <c r="GO21" s="6"/>
      <c r="GP21" s="6"/>
      <c r="GQ21" s="6"/>
      <c r="GR21" s="6"/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/>
      <c r="HL21" s="6"/>
      <c r="HM21" s="6"/>
      <c r="HN21" s="6"/>
      <c r="HO21" s="6"/>
      <c r="HP21" s="6"/>
      <c r="HQ21" s="6"/>
      <c r="HR21" s="6"/>
      <c r="HS21" s="6"/>
      <c r="HT21" s="6"/>
      <c r="HU21" s="6"/>
      <c r="HV21" s="6"/>
      <c r="HW21" s="6"/>
      <c r="HX21" s="6"/>
      <c r="HY21" s="6"/>
      <c r="HZ21" s="6"/>
      <c r="IA21" s="6"/>
      <c r="IB21" s="6"/>
      <c r="IC21" s="6"/>
      <c r="ID21" s="6"/>
      <c r="IE21" s="6"/>
      <c r="IF21" s="6"/>
      <c r="IG21" s="6"/>
      <c r="IH21" s="6"/>
      <c r="II21" s="6"/>
      <c r="IJ21" s="6"/>
      <c r="IK21" s="6"/>
      <c r="IL21" s="6"/>
      <c r="IM21" s="6"/>
      <c r="IN21" s="6"/>
      <c r="IO21" s="6"/>
      <c r="IP21" s="6"/>
      <c r="IQ21" s="6"/>
      <c r="IR21" s="6"/>
      <c r="IS21" s="6"/>
      <c r="IT21" s="6"/>
      <c r="IU21" s="6"/>
      <c r="IV21" s="6"/>
      <c r="IW21" s="6"/>
      <c r="IX21" s="6"/>
    </row>
    <row r="22" spans="1:258" s="7" customFormat="1" ht="24.95" customHeight="1" outlineLevel="1" x14ac:dyDescent="0.25">
      <c r="A22" s="6"/>
      <c r="B22" s="2" t="s">
        <v>1</v>
      </c>
      <c r="C22" s="10" t="s">
        <v>49</v>
      </c>
      <c r="D22" s="3" t="s">
        <v>22</v>
      </c>
      <c r="E22" s="4" t="s">
        <v>28</v>
      </c>
      <c r="F22" s="48">
        <v>46165</v>
      </c>
      <c r="G22" s="49">
        <v>46168</v>
      </c>
      <c r="H22" s="54">
        <f t="shared" si="0"/>
        <v>4</v>
      </c>
      <c r="I22" s="2" t="s">
        <v>64</v>
      </c>
      <c r="J22" s="6"/>
      <c r="K22" s="1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  <c r="IM22" s="6"/>
      <c r="IN22" s="6"/>
      <c r="IO22" s="6"/>
      <c r="IP22" s="6"/>
      <c r="IQ22" s="6"/>
      <c r="IR22" s="6"/>
      <c r="IS22" s="6"/>
      <c r="IT22" s="6"/>
      <c r="IU22" s="6"/>
      <c r="IV22" s="6"/>
      <c r="IW22" s="6"/>
      <c r="IX22" s="6"/>
    </row>
    <row r="23" spans="1:258" s="7" customFormat="1" ht="34.5" x14ac:dyDescent="0.25">
      <c r="A23" s="6"/>
      <c r="B23" s="20">
        <v>4</v>
      </c>
      <c r="C23" s="20" t="s">
        <v>6</v>
      </c>
      <c r="D23" s="31" t="s">
        <v>22</v>
      </c>
      <c r="E23" s="32" t="s">
        <v>28</v>
      </c>
      <c r="F23" s="33">
        <v>46169</v>
      </c>
      <c r="G23" s="34">
        <v>46171</v>
      </c>
      <c r="H23" s="35">
        <f>IF(F23=0,0,G23-F23)+1</f>
        <v>3</v>
      </c>
      <c r="I23" s="17"/>
      <c r="J23" s="6"/>
      <c r="K23" s="1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  <c r="HU23" s="6"/>
      <c r="HV23" s="6"/>
      <c r="HW23" s="6"/>
      <c r="HX23" s="6"/>
      <c r="HY23" s="6"/>
      <c r="HZ23" s="6"/>
      <c r="IA23" s="6"/>
      <c r="IB23" s="6"/>
      <c r="IC23" s="6"/>
      <c r="ID23" s="6"/>
      <c r="IE23" s="6"/>
      <c r="IF23" s="6"/>
      <c r="IG23" s="6"/>
      <c r="IH23" s="6"/>
      <c r="II23" s="6"/>
      <c r="IJ23" s="6"/>
      <c r="IK23" s="6"/>
      <c r="IL23" s="6"/>
      <c r="IM23" s="6"/>
      <c r="IN23" s="6"/>
      <c r="IO23" s="6"/>
      <c r="IP23" s="6"/>
      <c r="IQ23" s="6"/>
      <c r="IR23" s="6"/>
      <c r="IS23" s="6"/>
      <c r="IT23" s="6"/>
      <c r="IU23" s="6"/>
      <c r="IV23" s="6"/>
      <c r="IW23" s="6"/>
      <c r="IX23" s="6"/>
    </row>
    <row r="24" spans="1:258" s="7" customFormat="1" ht="24.95" customHeight="1" outlineLevel="1" x14ac:dyDescent="0.25">
      <c r="A24" s="6"/>
      <c r="B24" s="2" t="s">
        <v>42</v>
      </c>
      <c r="C24" s="10" t="s">
        <v>50</v>
      </c>
      <c r="D24" s="3" t="s">
        <v>22</v>
      </c>
      <c r="E24" s="4" t="s">
        <v>28</v>
      </c>
      <c r="F24" s="48">
        <v>46169</v>
      </c>
      <c r="G24" s="49">
        <v>46170</v>
      </c>
      <c r="H24" s="54">
        <f t="shared" si="0"/>
        <v>2</v>
      </c>
      <c r="I24" s="2" t="s">
        <v>62</v>
      </c>
      <c r="J24" s="6"/>
      <c r="K24" s="1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/>
      <c r="IM24" s="6"/>
      <c r="IN24" s="6"/>
      <c r="IO24" s="6"/>
      <c r="IP24" s="6"/>
      <c r="IQ24" s="6"/>
      <c r="IR24" s="6"/>
      <c r="IS24" s="6"/>
      <c r="IT24" s="6"/>
      <c r="IU24" s="6"/>
      <c r="IV24" s="6"/>
      <c r="IW24" s="6"/>
      <c r="IX24" s="6"/>
    </row>
    <row r="25" spans="1:258" s="7" customFormat="1" ht="24.95" customHeight="1" outlineLevel="1" x14ac:dyDescent="0.25">
      <c r="A25" s="6"/>
      <c r="B25" s="2" t="s">
        <v>45</v>
      </c>
      <c r="C25" s="10" t="s">
        <v>51</v>
      </c>
      <c r="D25" s="3" t="s">
        <v>22</v>
      </c>
      <c r="E25" s="4" t="s">
        <v>28</v>
      </c>
      <c r="F25" s="48">
        <v>46171</v>
      </c>
      <c r="G25" s="49">
        <v>46171</v>
      </c>
      <c r="H25" s="54">
        <f t="shared" si="0"/>
        <v>1</v>
      </c>
      <c r="I25" s="2" t="s">
        <v>65</v>
      </c>
      <c r="J25" s="6"/>
      <c r="K25" s="1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  <c r="IV25" s="6"/>
      <c r="IW25" s="6"/>
      <c r="IX25" s="6"/>
    </row>
    <row r="26" spans="1:258" x14ac:dyDescent="0.25">
      <c r="A26" s="1"/>
      <c r="B26" s="1"/>
      <c r="C26" s="1"/>
      <c r="D26" s="1"/>
      <c r="E26" s="1"/>
      <c r="F26" s="1"/>
      <c r="G26" s="1"/>
      <c r="H26" s="65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</row>
    <row r="27" spans="1:258" x14ac:dyDescent="0.25">
      <c r="A27" s="1"/>
      <c r="B27" s="1"/>
      <c r="D27" s="67" t="s">
        <v>67</v>
      </c>
      <c r="E27" s="67" t="s">
        <v>68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</row>
    <row r="28" spans="1:258" x14ac:dyDescent="0.25">
      <c r="A28" s="1"/>
      <c r="B28" s="1"/>
      <c r="C28" s="1" t="s">
        <v>66</v>
      </c>
      <c r="D28" s="68">
        <f>F8-2</f>
        <v>46065</v>
      </c>
      <c r="E28" s="68">
        <f>G25+2</f>
        <v>46173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</row>
    <row r="29" spans="1:25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</row>
    <row r="30" spans="1:25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</row>
    <row r="31" spans="1:25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</row>
    <row r="32" spans="1:258" ht="300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</row>
    <row r="33" spans="1:258" ht="300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</row>
    <row r="34" spans="1:25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</row>
    <row r="35" spans="1:25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</row>
    <row r="36" spans="1:25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</row>
    <row r="37" spans="1:25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</row>
    <row r="38" spans="1:25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</row>
    <row r="39" spans="1:25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</row>
    <row r="40" spans="1:25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</row>
    <row r="41" spans="1:25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</row>
    <row r="42" spans="1:25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</row>
    <row r="43" spans="1:25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</row>
    <row r="44" spans="1:25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</row>
    <row r="45" spans="1:25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</row>
    <row r="46" spans="1:25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</row>
    <row r="47" spans="1:25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</row>
    <row r="48" spans="1:25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</row>
    <row r="49" spans="1:25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</row>
    <row r="50" spans="1:25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</row>
    <row r="51" spans="1:25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</row>
    <row r="52" spans="1:25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</row>
    <row r="53" spans="1:25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</row>
    <row r="54" spans="1:25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</row>
    <row r="55" spans="1:25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</row>
    <row r="56" spans="1:25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</row>
    <row r="57" spans="1:25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</row>
    <row r="58" spans="1:25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</row>
    <row r="59" spans="1:25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  <c r="IV59" s="1"/>
      <c r="IW59" s="1"/>
      <c r="IX59" s="1"/>
    </row>
    <row r="60" spans="1:25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  <c r="IV60" s="1"/>
      <c r="IW60" s="1"/>
      <c r="IX60" s="1"/>
    </row>
    <row r="61" spans="1:25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  <c r="IW61" s="1"/>
      <c r="IX61" s="1"/>
    </row>
    <row r="62" spans="1:25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  <c r="IX62" s="1"/>
    </row>
    <row r="63" spans="1:25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  <c r="IX63" s="1"/>
    </row>
    <row r="64" spans="1:25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</row>
    <row r="65" spans="1:25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</row>
    <row r="66" spans="1:25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  <c r="IV66" s="1"/>
      <c r="IW66" s="1"/>
      <c r="IX66" s="1"/>
    </row>
    <row r="67" spans="1:25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  <c r="IV67" s="1"/>
      <c r="IW67" s="1"/>
      <c r="IX67" s="1"/>
    </row>
    <row r="68" spans="1:25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  <c r="IW68" s="1"/>
      <c r="IX68" s="1"/>
    </row>
    <row r="69" spans="1:25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  <c r="IV69" s="1"/>
      <c r="IW69" s="1"/>
      <c r="IX69" s="1"/>
    </row>
    <row r="70" spans="1:25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  <c r="IW70" s="1"/>
      <c r="IX70" s="1"/>
    </row>
    <row r="71" spans="1:25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  <c r="IW71" s="1"/>
      <c r="IX71" s="1"/>
    </row>
    <row r="72" spans="1:25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  <c r="IW72" s="1"/>
      <c r="IX72" s="1"/>
    </row>
    <row r="73" spans="1:25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  <c r="IW73" s="1"/>
      <c r="IX73" s="1"/>
    </row>
    <row r="74" spans="1:25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  <c r="IW74" s="1"/>
      <c r="IX74" s="1"/>
    </row>
    <row r="75" spans="1:25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  <c r="IW75" s="1"/>
      <c r="IX75" s="1"/>
    </row>
    <row r="76" spans="1:25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  <c r="IW76" s="1"/>
      <c r="IX76" s="1"/>
    </row>
    <row r="77" spans="1:25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  <c r="IW77" s="1"/>
      <c r="IX77" s="1"/>
    </row>
    <row r="78" spans="1:25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  <c r="IX78" s="1"/>
    </row>
    <row r="79" spans="1:25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  <c r="IW79" s="1"/>
      <c r="IX79" s="1"/>
    </row>
    <row r="80" spans="1:25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  <c r="IX80" s="1"/>
    </row>
    <row r="81" spans="1:25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  <c r="IX81" s="1"/>
    </row>
    <row r="82" spans="1:25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  <c r="IX82" s="1"/>
    </row>
    <row r="83" spans="1:25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  <c r="IX83" s="1"/>
    </row>
    <row r="84" spans="1:25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  <c r="IX84" s="1"/>
    </row>
    <row r="85" spans="1:25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  <c r="IW85" s="1"/>
      <c r="IX85" s="1"/>
    </row>
    <row r="86" spans="1:25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  <c r="IW86" s="1"/>
      <c r="IX86" s="1"/>
    </row>
    <row r="87" spans="1:25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  <c r="IW87" s="1"/>
      <c r="IX87" s="1"/>
    </row>
    <row r="88" spans="1:25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  <c r="IX88" s="1"/>
    </row>
    <row r="89" spans="1:25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</row>
    <row r="90" spans="1:25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</row>
    <row r="91" spans="1:25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</row>
    <row r="92" spans="1:25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</row>
    <row r="93" spans="1:25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</row>
    <row r="94" spans="1:25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</row>
    <row r="95" spans="1:25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</row>
    <row r="96" spans="1:25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</row>
    <row r="97" spans="1:25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</row>
    <row r="98" spans="1:25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</row>
    <row r="99" spans="1:25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</row>
    <row r="100" spans="1:25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</row>
    <row r="101" spans="1:25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</row>
    <row r="102" spans="1:25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</row>
    <row r="103" spans="1:25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</row>
    <row r="104" spans="1:25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</row>
    <row r="105" spans="1:25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</row>
    <row r="106" spans="1:25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</row>
    <row r="107" spans="1:25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</row>
    <row r="108" spans="1:25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</row>
    <row r="109" spans="1:25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</row>
    <row r="110" spans="1:25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</row>
    <row r="111" spans="1:25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</row>
    <row r="112" spans="1:25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</row>
    <row r="113" spans="1:25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</row>
    <row r="114" spans="1:25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</row>
    <row r="115" spans="1:25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</row>
    <row r="116" spans="1:25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</row>
    <row r="117" spans="1:25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</row>
    <row r="118" spans="1:25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</row>
    <row r="119" spans="1:25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</row>
    <row r="120" spans="1:25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</row>
    <row r="121" spans="1:25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</row>
    <row r="122" spans="1:25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</row>
    <row r="123" spans="1:25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</row>
    <row r="124" spans="1:25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</row>
    <row r="125" spans="1:25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</row>
    <row r="126" spans="1:25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</row>
    <row r="127" spans="1:25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</row>
    <row r="128" spans="1:25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</row>
    <row r="129" spans="1:25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</row>
    <row r="130" spans="1:25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</row>
    <row r="131" spans="1:25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</row>
    <row r="132" spans="1:25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</row>
    <row r="133" spans="1:25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</row>
    <row r="134" spans="1:25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</row>
    <row r="135" spans="1:25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</row>
    <row r="136" spans="1:25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</row>
    <row r="137" spans="1:25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</row>
    <row r="138" spans="1:25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</row>
    <row r="139" spans="1:25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</row>
    <row r="140" spans="1:25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</row>
    <row r="141" spans="1:25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</row>
    <row r="142" spans="1:25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</row>
    <row r="143" spans="1:25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</row>
    <row r="144" spans="1:25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</row>
    <row r="145" spans="1:25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</row>
    <row r="146" spans="1:25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</row>
    <row r="147" spans="1:25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</row>
    <row r="148" spans="1:25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</row>
    <row r="149" spans="1:25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</row>
    <row r="150" spans="1:25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</row>
    <row r="151" spans="1:25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</row>
    <row r="152" spans="1:25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</row>
    <row r="153" spans="1:25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</row>
    <row r="154" spans="1:25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</row>
    <row r="155" spans="1:25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</row>
    <row r="156" spans="1:25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</row>
    <row r="157" spans="1:25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</row>
    <row r="158" spans="1:25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</row>
    <row r="159" spans="1:25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</row>
    <row r="160" spans="1:25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</row>
    <row r="161" spans="1:25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</row>
    <row r="162" spans="1:25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</row>
    <row r="163" spans="1:25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</row>
    <row r="164" spans="1:25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  <c r="IX164" s="1"/>
    </row>
    <row r="165" spans="1:25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  <c r="IX165" s="1"/>
    </row>
    <row r="166" spans="1:25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  <c r="IX166" s="1"/>
    </row>
    <row r="167" spans="1:25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  <c r="IX167" s="1"/>
    </row>
    <row r="168" spans="1:25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  <c r="IX168" s="1"/>
    </row>
    <row r="169" spans="1:25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  <c r="IX169" s="1"/>
    </row>
    <row r="170" spans="1:25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  <c r="IX170" s="1"/>
    </row>
    <row r="171" spans="1:25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  <c r="IX171" s="1"/>
    </row>
    <row r="172" spans="1:25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  <c r="IX172" s="1"/>
    </row>
    <row r="173" spans="1:25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  <c r="IX173" s="1"/>
    </row>
    <row r="174" spans="1:25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  <c r="IX174" s="1"/>
    </row>
    <row r="175" spans="1:25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  <c r="IX175" s="1"/>
    </row>
    <row r="176" spans="1:25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  <c r="IX176" s="1"/>
    </row>
    <row r="177" spans="1:25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  <c r="IX177" s="1"/>
    </row>
    <row r="178" spans="1:25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  <c r="IX178" s="1"/>
    </row>
    <row r="179" spans="1:25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  <c r="IX179" s="1"/>
    </row>
    <row r="180" spans="1:25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  <c r="IX180" s="1"/>
    </row>
    <row r="181" spans="1:25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  <c r="IX181" s="1"/>
    </row>
    <row r="182" spans="1:25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  <c r="IX182" s="1"/>
    </row>
    <row r="183" spans="1:25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  <c r="IX183" s="1"/>
    </row>
    <row r="184" spans="1:25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  <c r="IX184" s="1"/>
    </row>
    <row r="185" spans="1:25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  <c r="IX185" s="1"/>
    </row>
    <row r="186" spans="1:25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  <c r="IX186" s="1"/>
    </row>
    <row r="187" spans="1:25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  <c r="IX187" s="1"/>
    </row>
    <row r="188" spans="1:25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  <c r="IX188" s="1"/>
    </row>
    <row r="189" spans="1:25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  <c r="IX189" s="1"/>
    </row>
    <row r="190" spans="1:25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  <c r="IX190" s="1"/>
    </row>
    <row r="191" spans="1:25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  <c r="IX191" s="1"/>
    </row>
    <row r="192" spans="1:25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  <c r="IX192" s="1"/>
    </row>
    <row r="193" spans="1:25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  <c r="IX193" s="1"/>
    </row>
    <row r="194" spans="1:25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  <c r="IX194" s="1"/>
    </row>
    <row r="195" spans="1:25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  <c r="IX195" s="1"/>
    </row>
    <row r="196" spans="1:258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  <c r="IX196" s="1"/>
    </row>
    <row r="197" spans="1:258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  <c r="IX197" s="1"/>
    </row>
    <row r="198" spans="1:258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  <c r="IX198" s="1"/>
    </row>
    <row r="199" spans="1:258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  <c r="IX199" s="1"/>
    </row>
    <row r="200" spans="1:258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  <c r="IX200" s="1"/>
    </row>
    <row r="201" spans="1:258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  <c r="IX201" s="1"/>
    </row>
    <row r="202" spans="1:258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  <c r="IX202" s="1"/>
    </row>
    <row r="203" spans="1:258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  <c r="IX203" s="1"/>
    </row>
    <row r="204" spans="1:258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  <c r="IX204" s="1"/>
    </row>
    <row r="205" spans="1:258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  <c r="IX205" s="1"/>
    </row>
    <row r="206" spans="1:258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  <c r="IX206" s="1"/>
    </row>
    <row r="207" spans="1:258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  <c r="IX207" s="1"/>
    </row>
    <row r="208" spans="1:258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  <c r="IX208" s="1"/>
    </row>
    <row r="209" spans="1:258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  <c r="IX209" s="1"/>
    </row>
    <row r="210" spans="1:258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  <c r="IX210" s="1"/>
    </row>
    <row r="211" spans="1:258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  <c r="IX211" s="1"/>
    </row>
    <row r="212" spans="1:258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  <c r="IX212" s="1"/>
    </row>
    <row r="213" spans="1:258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  <c r="IX213" s="1"/>
    </row>
    <row r="214" spans="1:258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  <c r="IX214" s="1"/>
    </row>
    <row r="215" spans="1:258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  <c r="IX215" s="1"/>
    </row>
    <row r="216" spans="1:258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  <c r="IX216" s="1"/>
    </row>
    <row r="217" spans="1:258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  <c r="IX217" s="1"/>
    </row>
    <row r="218" spans="1:258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  <c r="IX218" s="1"/>
    </row>
    <row r="219" spans="1:258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  <c r="IX219" s="1"/>
    </row>
    <row r="220" spans="1:258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  <c r="IX220" s="1"/>
    </row>
    <row r="221" spans="1:258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  <c r="IX221" s="1"/>
    </row>
    <row r="222" spans="1:258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  <c r="IX222" s="1"/>
    </row>
    <row r="223" spans="1:258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  <c r="IX223" s="1"/>
    </row>
    <row r="224" spans="1:258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  <c r="IX224" s="1"/>
    </row>
    <row r="225" spans="1:258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  <c r="IX225" s="1"/>
    </row>
    <row r="226" spans="1:258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  <c r="IX226" s="1"/>
    </row>
    <row r="227" spans="1:258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  <c r="IX227" s="1"/>
    </row>
    <row r="228" spans="1:258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  <c r="IX228" s="1"/>
    </row>
    <row r="229" spans="1:258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  <c r="IX229" s="1"/>
    </row>
    <row r="230" spans="1:258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  <c r="IX230" s="1"/>
    </row>
    <row r="231" spans="1:258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  <c r="IX231" s="1"/>
    </row>
    <row r="232" spans="1:258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  <c r="IX232" s="1"/>
    </row>
    <row r="233" spans="1:258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  <c r="IX233" s="1"/>
    </row>
    <row r="234" spans="1:258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  <c r="IX234" s="1"/>
    </row>
    <row r="235" spans="1:258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  <c r="IX235" s="1"/>
    </row>
    <row r="236" spans="1:258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  <c r="IX236" s="1"/>
    </row>
    <row r="237" spans="1:258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  <c r="IX237" s="1"/>
    </row>
    <row r="238" spans="1:258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  <c r="IX238" s="1"/>
    </row>
    <row r="239" spans="1:258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  <c r="IX239" s="1"/>
    </row>
    <row r="240" spans="1:258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  <c r="IX240" s="1"/>
    </row>
    <row r="241" spans="1:258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  <c r="IX241" s="1"/>
    </row>
    <row r="242" spans="1:258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  <c r="IX242" s="1"/>
    </row>
    <row r="243" spans="1:258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</row>
    <row r="244" spans="1:258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  <c r="IX244" s="1"/>
    </row>
    <row r="245" spans="1:258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  <c r="IX245" s="1"/>
    </row>
    <row r="246" spans="1:258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  <c r="IX246" s="1"/>
    </row>
    <row r="247" spans="1:258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  <c r="IX247" s="1"/>
    </row>
    <row r="248" spans="1:258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  <c r="IX248" s="1"/>
    </row>
    <row r="249" spans="1:258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  <c r="IX249" s="1"/>
    </row>
    <row r="250" spans="1:258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  <c r="IX250" s="1"/>
    </row>
    <row r="251" spans="1:258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  <c r="IX251" s="1"/>
    </row>
    <row r="252" spans="1:258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  <c r="IX252" s="1"/>
    </row>
    <row r="253" spans="1:258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  <c r="IX253" s="1"/>
    </row>
    <row r="254" spans="1:258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  <c r="IX254" s="1"/>
    </row>
    <row r="255" spans="1:258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</row>
    <row r="256" spans="1:258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</row>
    <row r="257" spans="1:258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</row>
    <row r="258" spans="1:258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</row>
    <row r="259" spans="1:258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  <c r="IX259" s="1"/>
    </row>
    <row r="260" spans="1:258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</row>
    <row r="261" spans="1:258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  <c r="IX261" s="1"/>
    </row>
    <row r="262" spans="1:258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</row>
    <row r="263" spans="1:258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</row>
    <row r="264" spans="1:258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</row>
    <row r="265" spans="1:258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</row>
    <row r="266" spans="1:258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</row>
    <row r="267" spans="1:258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</row>
    <row r="268" spans="1:258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</row>
    <row r="269" spans="1:258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</row>
    <row r="270" spans="1:258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</row>
    <row r="271" spans="1:258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  <c r="IX271" s="1"/>
    </row>
    <row r="272" spans="1:258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  <c r="IX272" s="1"/>
    </row>
    <row r="273" spans="1:258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  <c r="IX273" s="1"/>
    </row>
    <row r="274" spans="1:258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  <c r="IX274" s="1"/>
    </row>
    <row r="275" spans="1:258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  <c r="IX275" s="1"/>
    </row>
    <row r="276" spans="1:258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  <c r="IX276" s="1"/>
    </row>
    <row r="277" spans="1:258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  <c r="IX277" s="1"/>
    </row>
    <row r="278" spans="1:258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  <c r="IX278" s="1"/>
    </row>
    <row r="279" spans="1:258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  <c r="IX279" s="1"/>
    </row>
    <row r="280" spans="1:258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  <c r="IX280" s="1"/>
    </row>
    <row r="281" spans="1:258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  <c r="IX281" s="1"/>
    </row>
    <row r="282" spans="1:258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  <c r="IX282" s="1"/>
    </row>
    <row r="283" spans="1:258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  <c r="IX283" s="1"/>
    </row>
    <row r="284" spans="1:258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  <c r="IX284" s="1"/>
    </row>
    <row r="285" spans="1:258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  <c r="IX285" s="1"/>
    </row>
    <row r="286" spans="1:258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  <c r="IX286" s="1"/>
    </row>
    <row r="287" spans="1:258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  <c r="IX287" s="1"/>
    </row>
    <row r="288" spans="1:258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  <c r="IX288" s="1"/>
    </row>
    <row r="289" spans="1:258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  <c r="IX289" s="1"/>
    </row>
    <row r="290" spans="1:258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  <c r="IX290" s="1"/>
    </row>
    <row r="291" spans="1:258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  <c r="IX291" s="1"/>
    </row>
    <row r="292" spans="1:258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  <c r="IX292" s="1"/>
    </row>
    <row r="293" spans="1:258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  <c r="IX293" s="1"/>
    </row>
    <row r="294" spans="1:258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  <c r="IX294" s="1"/>
    </row>
    <row r="295" spans="1:258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  <c r="IX295" s="1"/>
    </row>
    <row r="296" spans="1:258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  <c r="IX296" s="1"/>
    </row>
    <row r="297" spans="1:258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  <c r="IX297" s="1"/>
    </row>
    <row r="298" spans="1:258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  <c r="IX298" s="1"/>
    </row>
    <row r="299" spans="1:258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  <c r="IX299" s="1"/>
    </row>
    <row r="300" spans="1:258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  <c r="IX300" s="1"/>
    </row>
    <row r="301" spans="1:258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  <c r="IX301" s="1"/>
    </row>
    <row r="302" spans="1:258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  <c r="IX302" s="1"/>
    </row>
    <row r="303" spans="1:258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  <c r="IX303" s="1"/>
    </row>
    <row r="304" spans="1:258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  <c r="IX304" s="1"/>
    </row>
    <row r="305" spans="1:258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  <c r="IX305" s="1"/>
    </row>
    <row r="306" spans="1:258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  <c r="IX306" s="1"/>
    </row>
    <row r="307" spans="1:258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  <c r="IX307" s="1"/>
    </row>
    <row r="308" spans="1:258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  <c r="IX308" s="1"/>
    </row>
    <row r="309" spans="1:258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  <c r="IX309" s="1"/>
    </row>
    <row r="310" spans="1:258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  <c r="IX310" s="1"/>
    </row>
    <row r="311" spans="1:258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  <c r="IX311" s="1"/>
    </row>
    <row r="312" spans="1:258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  <c r="IX312" s="1"/>
    </row>
    <row r="313" spans="1:258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  <c r="IX313" s="1"/>
    </row>
    <row r="314" spans="1:258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  <c r="IX314" s="1"/>
    </row>
    <row r="315" spans="1:258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  <c r="IX315" s="1"/>
    </row>
    <row r="316" spans="1:258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  <c r="IX316" s="1"/>
    </row>
    <row r="317" spans="1:258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  <c r="IX317" s="1"/>
    </row>
    <row r="318" spans="1:258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  <c r="IX318" s="1"/>
    </row>
    <row r="319" spans="1:258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  <c r="IX319" s="1"/>
    </row>
    <row r="320" spans="1:258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  <c r="IX320" s="1"/>
    </row>
    <row r="321" spans="1:258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  <c r="IX321" s="1"/>
    </row>
    <row r="322" spans="1:258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  <c r="IX322" s="1"/>
    </row>
    <row r="323" spans="1:258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  <c r="IX323" s="1"/>
    </row>
    <row r="324" spans="1:258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  <c r="IX324" s="1"/>
    </row>
    <row r="325" spans="1:258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  <c r="IX325" s="1"/>
    </row>
    <row r="326" spans="1:258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  <c r="IX326" s="1"/>
    </row>
    <row r="327" spans="1:258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  <c r="IX327" s="1"/>
    </row>
    <row r="328" spans="1:258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  <c r="IX328" s="1"/>
    </row>
    <row r="329" spans="1:258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  <c r="IX329" s="1"/>
    </row>
    <row r="330" spans="1:258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  <c r="IX330" s="1"/>
    </row>
    <row r="331" spans="1:258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  <c r="IX331" s="1"/>
    </row>
    <row r="332" spans="1:258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  <c r="IX332" s="1"/>
    </row>
    <row r="333" spans="1:258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  <c r="IX333" s="1"/>
    </row>
    <row r="334" spans="1:258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  <c r="IX334" s="1"/>
    </row>
    <row r="335" spans="1:258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  <c r="IX335" s="1"/>
    </row>
    <row r="336" spans="1:258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  <c r="IX336" s="1"/>
    </row>
    <row r="337" spans="1:258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  <c r="IX337" s="1"/>
    </row>
    <row r="338" spans="1:258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  <c r="IX338" s="1"/>
    </row>
    <row r="339" spans="1:258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  <c r="IX339" s="1"/>
    </row>
    <row r="340" spans="1:258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  <c r="IX340" s="1"/>
    </row>
    <row r="341" spans="1:258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  <c r="IX341" s="1"/>
    </row>
    <row r="342" spans="1:258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  <c r="IX342" s="1"/>
    </row>
    <row r="343" spans="1:258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  <c r="IX343" s="1"/>
    </row>
    <row r="344" spans="1:258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  <c r="IX344" s="1"/>
    </row>
    <row r="345" spans="1:258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  <c r="IX345" s="1"/>
    </row>
    <row r="346" spans="1:258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  <c r="IX346" s="1"/>
    </row>
    <row r="347" spans="1:258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  <c r="IX347" s="1"/>
    </row>
    <row r="348" spans="1:258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  <c r="IX348" s="1"/>
    </row>
    <row r="349" spans="1:258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  <c r="IX349" s="1"/>
    </row>
    <row r="350" spans="1:258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  <c r="IX350" s="1"/>
    </row>
    <row r="351" spans="1:258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  <c r="IX351" s="1"/>
    </row>
    <row r="352" spans="1:258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  <c r="IX352" s="1"/>
    </row>
    <row r="353" spans="1:258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  <c r="IX353" s="1"/>
    </row>
    <row r="354" spans="1:258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  <c r="IX354" s="1"/>
    </row>
    <row r="355" spans="1:258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  <c r="IX355" s="1"/>
    </row>
    <row r="356" spans="1:258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  <c r="IX356" s="1"/>
    </row>
    <row r="357" spans="1:258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  <c r="IX357" s="1"/>
    </row>
    <row r="358" spans="1:258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  <c r="IX358" s="1"/>
    </row>
    <row r="359" spans="1:258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  <c r="IX359" s="1"/>
    </row>
    <row r="360" spans="1:258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  <c r="IX360" s="1"/>
    </row>
    <row r="361" spans="1:258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  <c r="IX361" s="1"/>
    </row>
    <row r="362" spans="1:258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  <c r="IX362" s="1"/>
    </row>
    <row r="363" spans="1:258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  <c r="IX363" s="1"/>
    </row>
    <row r="364" spans="1:258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  <c r="IX364" s="1"/>
    </row>
    <row r="365" spans="1:258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  <c r="IX365" s="1"/>
    </row>
    <row r="366" spans="1:258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  <c r="IX366" s="1"/>
    </row>
    <row r="367" spans="1:258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  <c r="IX367" s="1"/>
    </row>
    <row r="368" spans="1:258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</row>
    <row r="369" spans="1:25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</row>
    <row r="370" spans="1:25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</row>
    <row r="371" spans="1:25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</row>
    <row r="372" spans="1:25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</row>
    <row r="373" spans="1:25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</row>
    <row r="374" spans="1:25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</row>
    <row r="375" spans="1:25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</row>
    <row r="376" spans="1:25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</row>
    <row r="377" spans="1:25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</row>
    <row r="378" spans="1:25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</row>
    <row r="379" spans="1:25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</row>
    <row r="380" spans="1:25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</row>
    <row r="381" spans="1:25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</row>
    <row r="382" spans="1:25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</row>
    <row r="383" spans="1:25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</row>
    <row r="384" spans="1:25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</row>
    <row r="385" spans="1:282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</row>
    <row r="386" spans="1:28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</row>
    <row r="387" spans="1:28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</row>
    <row r="388" spans="1:28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  <c r="JS388" s="1"/>
      <c r="JT388" s="1"/>
      <c r="JU388" s="1"/>
      <c r="JV388" s="1"/>
    </row>
    <row r="389" spans="1:282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  <c r="JS389" s="1"/>
      <c r="JT389" s="1"/>
      <c r="JU389" s="1"/>
      <c r="JV389" s="1"/>
    </row>
    <row r="390" spans="1:282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  <c r="JS390" s="1"/>
      <c r="JT390" s="1"/>
      <c r="JU390" s="1"/>
      <c r="JV390" s="1"/>
    </row>
    <row r="391" spans="1:282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  <c r="JS391" s="1"/>
      <c r="JT391" s="1"/>
      <c r="JU391" s="1"/>
      <c r="JV391" s="1"/>
    </row>
    <row r="392" spans="1:282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  <c r="JS392" s="1"/>
      <c r="JT392" s="1"/>
      <c r="JU392" s="1"/>
      <c r="JV392" s="1"/>
    </row>
    <row r="393" spans="1:282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  <c r="JS393" s="1"/>
      <c r="JT393" s="1"/>
      <c r="JU393" s="1"/>
      <c r="JV393" s="1"/>
    </row>
    <row r="394" spans="1:282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  <c r="JS394" s="1"/>
      <c r="JT394" s="1"/>
      <c r="JU394" s="1"/>
      <c r="JV394" s="1"/>
    </row>
    <row r="395" spans="1:282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  <c r="JS395" s="1"/>
      <c r="JT395" s="1"/>
      <c r="JU395" s="1"/>
      <c r="JV395" s="1"/>
    </row>
    <row r="396" spans="1:282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  <c r="JS396" s="1"/>
      <c r="JT396" s="1"/>
      <c r="JU396" s="1"/>
      <c r="JV396" s="1"/>
    </row>
    <row r="397" spans="1:282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  <c r="JS397" s="1"/>
      <c r="JT397" s="1"/>
      <c r="JU397" s="1"/>
      <c r="JV397" s="1"/>
    </row>
    <row r="398" spans="1:282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  <c r="JS398" s="1"/>
      <c r="JT398" s="1"/>
      <c r="JU398" s="1"/>
      <c r="JV398" s="1"/>
    </row>
    <row r="399" spans="1:282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  <c r="JS399" s="1"/>
      <c r="JT399" s="1"/>
      <c r="JU399" s="1"/>
      <c r="JV399" s="1"/>
    </row>
    <row r="400" spans="1:282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  <c r="JS400" s="1"/>
      <c r="JT400" s="1"/>
      <c r="JU400" s="1"/>
      <c r="JV400" s="1"/>
    </row>
    <row r="401" spans="1:28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  <c r="JS401" s="1"/>
      <c r="JT401" s="1"/>
      <c r="JU401" s="1"/>
      <c r="JV401" s="1"/>
    </row>
    <row r="402" spans="1:28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  <c r="JS402" s="1"/>
      <c r="JT402" s="1"/>
      <c r="JU402" s="1"/>
      <c r="JV402" s="1"/>
    </row>
    <row r="403" spans="1:28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  <c r="JS403" s="1"/>
      <c r="JT403" s="1"/>
      <c r="JU403" s="1"/>
      <c r="JV403" s="1"/>
    </row>
    <row r="404" spans="1:28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  <c r="JS404" s="1"/>
      <c r="JT404" s="1"/>
      <c r="JU404" s="1"/>
      <c r="JV404" s="1"/>
    </row>
    <row r="405" spans="1:28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  <c r="JS405" s="1"/>
      <c r="JT405" s="1"/>
      <c r="JU405" s="1"/>
      <c r="JV405" s="1"/>
    </row>
    <row r="406" spans="1:282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  <c r="JS406" s="1"/>
      <c r="JT406" s="1"/>
      <c r="JU406" s="1"/>
      <c r="JV406" s="1"/>
    </row>
    <row r="407" spans="1:282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  <c r="JS407" s="1"/>
      <c r="JT407" s="1"/>
      <c r="JU407" s="1"/>
      <c r="JV407" s="1"/>
    </row>
    <row r="408" spans="1:282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  <c r="JS408" s="1"/>
      <c r="JT408" s="1"/>
      <c r="JU408" s="1"/>
      <c r="JV408" s="1"/>
    </row>
    <row r="409" spans="1:28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  <c r="JS409" s="1"/>
      <c r="JT409" s="1"/>
      <c r="JU409" s="1"/>
      <c r="JV409" s="1"/>
    </row>
    <row r="410" spans="1:282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  <c r="JS410" s="1"/>
      <c r="JT410" s="1"/>
      <c r="JU410" s="1"/>
      <c r="JV410" s="1"/>
    </row>
    <row r="411" spans="1:282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  <c r="JS411" s="1"/>
      <c r="JT411" s="1"/>
      <c r="JU411" s="1"/>
      <c r="JV411" s="1"/>
    </row>
    <row r="412" spans="1:282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  <c r="JS412" s="1"/>
      <c r="JT412" s="1"/>
      <c r="JU412" s="1"/>
      <c r="JV412" s="1"/>
    </row>
    <row r="413" spans="1:282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  <c r="JS413" s="1"/>
      <c r="JT413" s="1"/>
      <c r="JU413" s="1"/>
      <c r="JV413" s="1"/>
    </row>
    <row r="414" spans="1:282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  <c r="JS414" s="1"/>
      <c r="JT414" s="1"/>
      <c r="JU414" s="1"/>
      <c r="JV414" s="1"/>
    </row>
    <row r="415" spans="1:282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  <c r="JS415" s="1"/>
      <c r="JT415" s="1"/>
      <c r="JU415" s="1"/>
      <c r="JV415" s="1"/>
    </row>
    <row r="416" spans="1:282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  <c r="JT416" s="1"/>
      <c r="JU416" s="1"/>
      <c r="JV416" s="1"/>
    </row>
    <row r="417" spans="1:282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  <c r="JT417" s="1"/>
      <c r="JU417" s="1"/>
      <c r="JV417" s="1"/>
    </row>
    <row r="418" spans="1:282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  <c r="JT418" s="1"/>
      <c r="JU418" s="1"/>
      <c r="JV418" s="1"/>
    </row>
    <row r="419" spans="1:282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  <c r="JT419" s="1"/>
      <c r="JU419" s="1"/>
      <c r="JV419" s="1"/>
    </row>
    <row r="420" spans="1:282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  <c r="JT420" s="1"/>
      <c r="JU420" s="1"/>
      <c r="JV420" s="1"/>
    </row>
    <row r="421" spans="1:282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  <c r="JT421" s="1"/>
      <c r="JU421" s="1"/>
      <c r="JV421" s="1"/>
    </row>
    <row r="422" spans="1:282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  <c r="JT422" s="1"/>
      <c r="JU422" s="1"/>
      <c r="JV422" s="1"/>
    </row>
    <row r="423" spans="1:282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  <c r="JT423" s="1"/>
      <c r="JU423" s="1"/>
      <c r="JV423" s="1"/>
    </row>
    <row r="424" spans="1:282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  <c r="JT424" s="1"/>
      <c r="JU424" s="1"/>
      <c r="JV424" s="1"/>
    </row>
    <row r="425" spans="1:282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  <c r="JT425" s="1"/>
      <c r="JU425" s="1"/>
      <c r="JV425" s="1"/>
    </row>
    <row r="426" spans="1:282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  <c r="JT426" s="1"/>
      <c r="JU426" s="1"/>
      <c r="JV426" s="1"/>
    </row>
    <row r="427" spans="1:282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  <c r="JT427" s="1"/>
      <c r="JU427" s="1"/>
      <c r="JV427" s="1"/>
    </row>
    <row r="428" spans="1:282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  <c r="JT428" s="1"/>
      <c r="JU428" s="1"/>
      <c r="JV428" s="1"/>
    </row>
    <row r="429" spans="1:282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  <c r="JT429" s="1"/>
      <c r="JU429" s="1"/>
      <c r="JV429" s="1"/>
    </row>
    <row r="430" spans="1:282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  <c r="JT430" s="1"/>
      <c r="JU430" s="1"/>
      <c r="JV430" s="1"/>
    </row>
    <row r="431" spans="1:282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  <c r="JT431" s="1"/>
      <c r="JU431" s="1"/>
      <c r="JV431" s="1"/>
    </row>
    <row r="432" spans="1:282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  <c r="JT432" s="1"/>
      <c r="JU432" s="1"/>
      <c r="JV432" s="1"/>
    </row>
    <row r="433" spans="1:282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  <c r="JT433" s="1"/>
      <c r="JU433" s="1"/>
      <c r="JV433" s="1"/>
    </row>
    <row r="434" spans="1:282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  <c r="JT434" s="1"/>
      <c r="JU434" s="1"/>
      <c r="JV434" s="1"/>
    </row>
    <row r="435" spans="1:282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  <c r="JT435" s="1"/>
      <c r="JU435" s="1"/>
      <c r="JV435" s="1"/>
    </row>
    <row r="436" spans="1:282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  <c r="JT436" s="1"/>
      <c r="JU436" s="1"/>
      <c r="JV436" s="1"/>
    </row>
    <row r="437" spans="1:282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  <c r="JT437" s="1"/>
      <c r="JU437" s="1"/>
      <c r="JV437" s="1"/>
    </row>
    <row r="438" spans="1:282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  <c r="JT438" s="1"/>
      <c r="JU438" s="1"/>
      <c r="JV438" s="1"/>
    </row>
    <row r="439" spans="1:282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  <c r="JT439" s="1"/>
      <c r="JU439" s="1"/>
      <c r="JV439" s="1"/>
    </row>
    <row r="440" spans="1:282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  <c r="JT440" s="1"/>
      <c r="JU440" s="1"/>
      <c r="JV440" s="1"/>
    </row>
    <row r="441" spans="1:282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  <c r="JT441" s="1"/>
      <c r="JU441" s="1"/>
      <c r="JV441" s="1"/>
    </row>
    <row r="442" spans="1:282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  <c r="JT442" s="1"/>
      <c r="JU442" s="1"/>
      <c r="JV442" s="1"/>
    </row>
    <row r="443" spans="1:282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  <c r="JT443" s="1"/>
      <c r="JU443" s="1"/>
      <c r="JV443" s="1"/>
    </row>
    <row r="444" spans="1:282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  <c r="JT444" s="1"/>
      <c r="JU444" s="1"/>
      <c r="JV444" s="1"/>
    </row>
    <row r="445" spans="1:282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  <c r="JU445" s="1"/>
      <c r="JV445" s="1"/>
    </row>
    <row r="446" spans="1:282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  <c r="JU446" s="1"/>
      <c r="JV446" s="1"/>
    </row>
    <row r="447" spans="1:282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  <c r="JU447" s="1"/>
      <c r="JV447" s="1"/>
    </row>
    <row r="448" spans="1:282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  <c r="JV448" s="1"/>
    </row>
    <row r="449" spans="1:282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  <c r="JV449" s="1"/>
    </row>
    <row r="450" spans="1:282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  <c r="JV450" s="1"/>
    </row>
    <row r="451" spans="1:282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  <c r="JV451" s="1"/>
    </row>
    <row r="452" spans="1:282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  <c r="JV452" s="1"/>
    </row>
    <row r="453" spans="1:282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  <c r="JV453" s="1"/>
    </row>
    <row r="454" spans="1:282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  <c r="JV454" s="1"/>
    </row>
    <row r="455" spans="1:282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  <c r="JV455" s="1"/>
    </row>
    <row r="456" spans="1:282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  <c r="JV456" s="1"/>
    </row>
    <row r="457" spans="1:282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  <c r="JV457" s="1"/>
    </row>
    <row r="458" spans="1:282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  <c r="JV458" s="1"/>
    </row>
    <row r="459" spans="1:282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  <c r="JV459" s="1"/>
    </row>
    <row r="460" spans="1:282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  <c r="JV460" s="1"/>
    </row>
    <row r="461" spans="1:282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  <c r="JV461" s="1"/>
    </row>
    <row r="462" spans="1:282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  <c r="JV462" s="1"/>
    </row>
    <row r="463" spans="1:282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  <c r="JV463" s="1"/>
    </row>
    <row r="464" spans="1:282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  <c r="JV464" s="1"/>
    </row>
    <row r="465" spans="1:282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  <c r="JV465" s="1"/>
    </row>
    <row r="466" spans="1:282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  <c r="JV466" s="1"/>
    </row>
    <row r="467" spans="1:282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  <c r="JV467" s="1"/>
    </row>
    <row r="468" spans="1:282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  <c r="JV468" s="1"/>
    </row>
    <row r="469" spans="1:282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  <c r="JV469" s="1"/>
    </row>
    <row r="470" spans="1:282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  <c r="JV470" s="1"/>
    </row>
    <row r="471" spans="1:282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  <c r="JV471" s="1"/>
    </row>
    <row r="472" spans="1:282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  <c r="JV472" s="1"/>
    </row>
    <row r="473" spans="1:282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  <c r="JV473" s="1"/>
    </row>
    <row r="474" spans="1:282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  <c r="JV474" s="1"/>
    </row>
    <row r="475" spans="1:282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  <c r="JV475" s="1"/>
    </row>
    <row r="476" spans="1:282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  <c r="JV476" s="1"/>
    </row>
    <row r="477" spans="1:282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  <c r="JV477" s="1"/>
    </row>
    <row r="478" spans="1:282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  <c r="JV478" s="1"/>
    </row>
    <row r="479" spans="1:282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  <c r="JV479" s="1"/>
    </row>
    <row r="480" spans="1:282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  <c r="JV480" s="1"/>
    </row>
    <row r="481" spans="1:282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  <c r="JV481" s="1"/>
    </row>
    <row r="482" spans="1:282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  <c r="JV482" s="1"/>
    </row>
    <row r="483" spans="1:282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  <c r="JV483" s="1"/>
    </row>
    <row r="484" spans="1:282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  <c r="JV484" s="1"/>
    </row>
    <row r="485" spans="1:282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  <c r="JV485" s="1"/>
    </row>
    <row r="486" spans="1:282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  <c r="JV486" s="1"/>
    </row>
    <row r="487" spans="1:282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  <c r="JV487" s="1"/>
    </row>
    <row r="488" spans="1:282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  <c r="JV488" s="1"/>
    </row>
    <row r="489" spans="1:282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  <c r="JV489" s="1"/>
    </row>
    <row r="490" spans="1:282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  <c r="JV490" s="1"/>
    </row>
    <row r="491" spans="1:282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  <c r="JV491" s="1"/>
    </row>
    <row r="492" spans="1:282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  <c r="JV492" s="1"/>
    </row>
    <row r="493" spans="1:282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  <c r="JV493" s="1"/>
    </row>
    <row r="494" spans="1:282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  <c r="JV494" s="1"/>
    </row>
    <row r="495" spans="1:282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  <c r="JV495" s="1"/>
    </row>
    <row r="496" spans="1:282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  <c r="JV496" s="1"/>
    </row>
    <row r="497" spans="1:282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  <c r="JV497" s="1"/>
    </row>
    <row r="498" spans="1:282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  <c r="JV498" s="1"/>
    </row>
    <row r="499" spans="1:282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  <c r="JV499" s="1"/>
    </row>
    <row r="500" spans="1:282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  <c r="JV500" s="1"/>
    </row>
    <row r="501" spans="1:282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  <c r="JV501" s="1"/>
    </row>
    <row r="502" spans="1:282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  <c r="JV502" s="1"/>
    </row>
    <row r="503" spans="1:282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  <c r="JV503" s="1"/>
    </row>
    <row r="504" spans="1:282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  <c r="JV504" s="1"/>
    </row>
    <row r="505" spans="1:282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  <c r="JV505" s="1"/>
    </row>
    <row r="506" spans="1:282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  <c r="JV506" s="1"/>
    </row>
    <row r="507" spans="1:282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  <c r="JV507" s="1"/>
    </row>
    <row r="508" spans="1:282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  <c r="JV508" s="1"/>
    </row>
    <row r="509" spans="1:282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  <c r="JV509" s="1"/>
    </row>
    <row r="510" spans="1:282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  <c r="JV510" s="1"/>
    </row>
    <row r="511" spans="1:282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  <c r="JV511" s="1"/>
    </row>
    <row r="512" spans="1:282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  <c r="JV512" s="1"/>
    </row>
    <row r="513" spans="1:282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  <c r="JV513" s="1"/>
    </row>
    <row r="514" spans="1:282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  <c r="JV514" s="1"/>
    </row>
    <row r="515" spans="1:282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  <c r="JV515" s="1"/>
    </row>
    <row r="516" spans="1:282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  <c r="JV516" s="1"/>
    </row>
    <row r="517" spans="1:282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  <c r="JV517" s="1"/>
    </row>
    <row r="518" spans="1:282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  <c r="JV518" s="1"/>
    </row>
    <row r="519" spans="1:282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  <c r="JV519" s="1"/>
    </row>
    <row r="520" spans="1:282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  <c r="JV520" s="1"/>
    </row>
    <row r="521" spans="1:282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  <c r="JV521" s="1"/>
    </row>
    <row r="522" spans="1:282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  <c r="JV522" s="1"/>
    </row>
    <row r="523" spans="1:282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  <c r="JV523" s="1"/>
    </row>
    <row r="524" spans="1:282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  <c r="JV524" s="1"/>
    </row>
    <row r="525" spans="1:282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  <c r="JV525" s="1"/>
    </row>
    <row r="526" spans="1:282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  <c r="JV526" s="1"/>
    </row>
    <row r="527" spans="1:282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  <c r="JV527" s="1"/>
    </row>
    <row r="528" spans="1:282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  <c r="JV528" s="1"/>
    </row>
    <row r="529" spans="1:282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  <c r="JV529" s="1"/>
    </row>
    <row r="530" spans="1:282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  <c r="JV530" s="1"/>
    </row>
    <row r="531" spans="1:282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  <c r="JV531" s="1"/>
    </row>
    <row r="532" spans="1:282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  <c r="JV532" s="1"/>
    </row>
    <row r="533" spans="1:282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  <c r="JV533" s="1"/>
    </row>
    <row r="534" spans="1:282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  <c r="JV534" s="1"/>
    </row>
    <row r="535" spans="1:282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  <c r="JV535" s="1"/>
    </row>
    <row r="536" spans="1:282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  <c r="JV536" s="1"/>
    </row>
    <row r="537" spans="1:282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  <c r="JV537" s="1"/>
    </row>
    <row r="538" spans="1:282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  <c r="JV538" s="1"/>
    </row>
    <row r="539" spans="1:282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  <c r="JV539" s="1"/>
    </row>
    <row r="540" spans="1:282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  <c r="JV540" s="1"/>
    </row>
    <row r="541" spans="1:282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  <c r="JV541" s="1"/>
    </row>
    <row r="542" spans="1:282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  <c r="JV542" s="1"/>
    </row>
    <row r="543" spans="1:282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  <c r="JV543" s="1"/>
    </row>
    <row r="544" spans="1:282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  <c r="JV544" s="1"/>
    </row>
    <row r="545" spans="1:282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  <c r="JV545" s="1"/>
    </row>
    <row r="546" spans="1:282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  <c r="JV546" s="1"/>
    </row>
    <row r="547" spans="1:282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  <c r="JV547" s="1"/>
    </row>
    <row r="548" spans="1:282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  <c r="JV548" s="1"/>
    </row>
    <row r="549" spans="1:282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  <c r="JV549" s="1"/>
    </row>
    <row r="550" spans="1:282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  <c r="JV550" s="1"/>
    </row>
    <row r="551" spans="1:282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  <c r="JV551" s="1"/>
    </row>
    <row r="552" spans="1:282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  <c r="JV552" s="1"/>
    </row>
    <row r="553" spans="1:282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  <c r="JV553" s="1"/>
    </row>
    <row r="554" spans="1:282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  <c r="JV554" s="1"/>
    </row>
    <row r="555" spans="1:282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  <c r="JV555" s="1"/>
    </row>
    <row r="556" spans="1:282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  <c r="JV556" s="1"/>
    </row>
    <row r="557" spans="1:282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  <c r="JV557" s="1"/>
    </row>
    <row r="558" spans="1:282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  <c r="JV558" s="1"/>
    </row>
    <row r="559" spans="1:282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  <c r="JV559" s="1"/>
    </row>
    <row r="560" spans="1:282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  <c r="JV560" s="1"/>
    </row>
    <row r="561" spans="1:282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  <c r="JV561" s="1"/>
    </row>
    <row r="562" spans="1:282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  <c r="JV562" s="1"/>
    </row>
    <row r="563" spans="1:282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  <c r="JV563" s="1"/>
    </row>
    <row r="564" spans="1:282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  <c r="JV564" s="1"/>
    </row>
    <row r="565" spans="1:282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  <c r="JV565" s="1"/>
    </row>
    <row r="566" spans="1:282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  <c r="JV566" s="1"/>
    </row>
    <row r="567" spans="1:282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  <c r="JV567" s="1"/>
    </row>
    <row r="568" spans="1:282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  <c r="JV568" s="1"/>
    </row>
    <row r="569" spans="1:282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  <c r="JV569" s="1"/>
    </row>
    <row r="570" spans="1:282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  <c r="JV570" s="1"/>
    </row>
    <row r="571" spans="1:282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  <c r="JV571" s="1"/>
    </row>
    <row r="572" spans="1:282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  <c r="JV572" s="1"/>
    </row>
    <row r="573" spans="1:282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  <c r="JV573" s="1"/>
    </row>
    <row r="574" spans="1:282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  <c r="JV574" s="1"/>
    </row>
    <row r="575" spans="1:282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  <c r="JV575" s="1"/>
    </row>
    <row r="576" spans="1:282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  <c r="JV576" s="1"/>
    </row>
    <row r="577" spans="1:282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  <c r="JV577" s="1"/>
    </row>
    <row r="578" spans="1:282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  <c r="JV578" s="1"/>
    </row>
    <row r="579" spans="1:282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  <c r="JV579" s="1"/>
    </row>
    <row r="580" spans="1:282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  <c r="JV580" s="1"/>
    </row>
    <row r="581" spans="1:282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  <c r="JV581" s="1"/>
    </row>
    <row r="582" spans="1:282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  <c r="JV582" s="1"/>
    </row>
    <row r="583" spans="1:282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  <c r="JV583" s="1"/>
    </row>
    <row r="584" spans="1:282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  <c r="JV584" s="1"/>
    </row>
    <row r="585" spans="1:282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  <c r="JV585" s="1"/>
    </row>
    <row r="586" spans="1:282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  <c r="JV586" s="1"/>
    </row>
    <row r="587" spans="1:282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  <c r="JV587" s="1"/>
    </row>
    <row r="588" spans="1:282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  <c r="JV588" s="1"/>
    </row>
    <row r="589" spans="1:282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  <c r="JV589" s="1"/>
    </row>
    <row r="590" spans="1:282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  <c r="JV590" s="1"/>
    </row>
    <row r="591" spans="1:282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  <c r="JV591" s="1"/>
    </row>
    <row r="592" spans="1:282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  <c r="JV592" s="1"/>
    </row>
    <row r="593" spans="1:282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  <c r="JV593" s="1"/>
    </row>
    <row r="594" spans="1:282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  <c r="JV594" s="1"/>
    </row>
    <row r="595" spans="1:282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  <c r="JV595" s="1"/>
    </row>
    <row r="596" spans="1:282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  <c r="JV596" s="1"/>
    </row>
    <row r="597" spans="1:282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  <c r="JV597" s="1"/>
    </row>
    <row r="598" spans="1:282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  <c r="JV598" s="1"/>
    </row>
    <row r="599" spans="1:282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  <c r="JV599" s="1"/>
    </row>
    <row r="600" spans="1:282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  <c r="JV600" s="1"/>
    </row>
    <row r="601" spans="1:282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  <c r="JV601" s="1"/>
    </row>
    <row r="602" spans="1:282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  <c r="JV602" s="1"/>
    </row>
    <row r="603" spans="1:282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  <c r="JV603" s="1"/>
    </row>
    <row r="604" spans="1:282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  <c r="JV604" s="1"/>
    </row>
    <row r="605" spans="1:282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  <c r="JV605" s="1"/>
    </row>
    <row r="606" spans="1:282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  <c r="JV606" s="1"/>
    </row>
    <row r="607" spans="1:282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  <c r="JV607" s="1"/>
    </row>
    <row r="608" spans="1:282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  <c r="JV608" s="1"/>
    </row>
    <row r="609" spans="1:282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  <c r="JV609" s="1"/>
    </row>
    <row r="610" spans="1:282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  <c r="JV610" s="1"/>
    </row>
    <row r="611" spans="1:282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  <c r="JV611" s="1"/>
    </row>
    <row r="612" spans="1:282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  <c r="JV612" s="1"/>
    </row>
    <row r="613" spans="1:282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  <c r="JV613" s="1"/>
    </row>
    <row r="614" spans="1:282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  <c r="JV614" s="1"/>
    </row>
    <row r="615" spans="1:282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  <c r="JV615" s="1"/>
    </row>
    <row r="616" spans="1:282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  <c r="JV616" s="1"/>
    </row>
    <row r="617" spans="1:282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  <c r="JV617" s="1"/>
    </row>
    <row r="618" spans="1:282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  <c r="JV618" s="1"/>
    </row>
    <row r="619" spans="1:282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  <c r="JV619" s="1"/>
    </row>
    <row r="620" spans="1:282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  <c r="JV620" s="1"/>
    </row>
    <row r="621" spans="1:282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  <c r="JV621" s="1"/>
    </row>
    <row r="622" spans="1:282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  <c r="JV622" s="1"/>
    </row>
    <row r="623" spans="1:282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  <c r="JV623" s="1"/>
    </row>
    <row r="624" spans="1:282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  <c r="JV624" s="1"/>
    </row>
    <row r="625" spans="1:282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  <c r="JV625" s="1"/>
    </row>
    <row r="626" spans="1:282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  <c r="JV626" s="1"/>
    </row>
    <row r="627" spans="1:282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  <c r="JV627" s="1"/>
    </row>
    <row r="628" spans="1:282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  <c r="JV628" s="1"/>
    </row>
    <row r="629" spans="1:282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  <c r="JV629" s="1"/>
    </row>
    <row r="630" spans="1:282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  <c r="JV630" s="1"/>
    </row>
    <row r="631" spans="1:282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  <c r="JV631" s="1"/>
    </row>
    <row r="632" spans="1:282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  <c r="JV632" s="1"/>
    </row>
    <row r="633" spans="1:282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  <c r="JV633" s="1"/>
    </row>
    <row r="634" spans="1:282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  <c r="JV634" s="1"/>
    </row>
    <row r="635" spans="1:282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  <c r="JV635" s="1"/>
    </row>
    <row r="636" spans="1:282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  <c r="JV636" s="1"/>
    </row>
    <row r="637" spans="1:282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  <c r="JV637" s="1"/>
    </row>
    <row r="638" spans="1:282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  <c r="JV638" s="1"/>
    </row>
    <row r="639" spans="1:282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  <c r="JV639" s="1"/>
    </row>
    <row r="640" spans="1:282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  <c r="JV640" s="1"/>
    </row>
    <row r="641" spans="1:282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  <c r="JV641" s="1"/>
    </row>
    <row r="642" spans="1:282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  <c r="JV642" s="1"/>
    </row>
    <row r="643" spans="1:282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  <c r="JV643" s="1"/>
    </row>
    <row r="644" spans="1:282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  <c r="JV644" s="1"/>
    </row>
    <row r="645" spans="1:282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  <c r="JV645" s="1"/>
    </row>
    <row r="646" spans="1:282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  <c r="JV646" s="1"/>
    </row>
    <row r="647" spans="1:282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  <c r="JV647" s="1"/>
    </row>
    <row r="648" spans="1:282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  <c r="JV648" s="1"/>
    </row>
    <row r="649" spans="1:282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  <c r="JV649" s="1"/>
    </row>
    <row r="650" spans="1:282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  <c r="JV650" s="1"/>
    </row>
    <row r="651" spans="1:282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  <c r="JV651" s="1"/>
    </row>
    <row r="652" spans="1:282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  <c r="JV652" s="1"/>
    </row>
    <row r="653" spans="1:282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  <c r="JV653" s="1"/>
    </row>
    <row r="654" spans="1:282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  <c r="JV654" s="1"/>
    </row>
    <row r="655" spans="1:282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  <c r="JV655" s="1"/>
    </row>
    <row r="656" spans="1:282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  <c r="JV656" s="1"/>
    </row>
    <row r="657" spans="1:282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  <c r="JV657" s="1"/>
    </row>
    <row r="658" spans="1:282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  <c r="JV658" s="1"/>
    </row>
    <row r="659" spans="1:282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  <c r="JV659" s="1"/>
    </row>
    <row r="660" spans="1:282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  <c r="JV660" s="1"/>
    </row>
    <row r="661" spans="1:282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  <c r="JV661" s="1"/>
    </row>
    <row r="662" spans="1:282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  <c r="JV662" s="1"/>
    </row>
    <row r="663" spans="1:282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  <c r="JV663" s="1"/>
    </row>
    <row r="664" spans="1:282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  <c r="JV664" s="1"/>
    </row>
    <row r="665" spans="1:282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  <c r="JV665" s="1"/>
    </row>
    <row r="666" spans="1:282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  <c r="JV666" s="1"/>
    </row>
    <row r="667" spans="1:282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  <c r="JV667" s="1"/>
    </row>
    <row r="668" spans="1:282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  <c r="JV668" s="1"/>
    </row>
    <row r="669" spans="1:282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  <c r="JV669" s="1"/>
    </row>
    <row r="670" spans="1:282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  <c r="JV670" s="1"/>
    </row>
    <row r="671" spans="1:282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  <c r="JV671" s="1"/>
    </row>
    <row r="672" spans="1:282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  <c r="JV672" s="1"/>
    </row>
    <row r="673" spans="1:282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  <c r="JV673" s="1"/>
    </row>
    <row r="674" spans="1:282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  <c r="JV674" s="1"/>
    </row>
    <row r="675" spans="1:282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  <c r="JV675" s="1"/>
    </row>
    <row r="676" spans="1:282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  <c r="JV676" s="1"/>
    </row>
    <row r="677" spans="1:282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  <c r="JV677" s="1"/>
    </row>
    <row r="678" spans="1:282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  <c r="JV678" s="1"/>
    </row>
    <row r="679" spans="1:282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  <c r="JV679" s="1"/>
    </row>
    <row r="680" spans="1:282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  <c r="JV680" s="1"/>
    </row>
    <row r="681" spans="1:282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  <c r="JV681" s="1"/>
    </row>
    <row r="682" spans="1:282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  <c r="JV682" s="1"/>
    </row>
    <row r="683" spans="1:282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  <c r="JV683" s="1"/>
    </row>
    <row r="684" spans="1:282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  <c r="JV684" s="1"/>
    </row>
    <row r="685" spans="1:282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  <c r="JV685" s="1"/>
    </row>
    <row r="686" spans="1:282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  <c r="JV686" s="1"/>
    </row>
    <row r="687" spans="1:282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  <c r="JV687" s="1"/>
    </row>
    <row r="688" spans="1:282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  <c r="JV688" s="1"/>
    </row>
    <row r="689" spans="1:282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  <c r="JV689" s="1"/>
    </row>
    <row r="690" spans="1:282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  <c r="JV690" s="1"/>
    </row>
    <row r="691" spans="1:282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  <c r="JV691" s="1"/>
    </row>
    <row r="692" spans="1:282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  <c r="JV692" s="1"/>
    </row>
    <row r="693" spans="1:282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  <c r="JV693" s="1"/>
    </row>
    <row r="694" spans="1:282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  <c r="JV694" s="1"/>
    </row>
    <row r="695" spans="1:282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  <c r="JV695" s="1"/>
    </row>
    <row r="696" spans="1:282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  <c r="JV696" s="1"/>
    </row>
    <row r="697" spans="1:282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  <c r="JV697" s="1"/>
    </row>
    <row r="698" spans="1:282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  <c r="JV698" s="1"/>
    </row>
    <row r="699" spans="1:282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  <c r="JV699" s="1"/>
    </row>
    <row r="700" spans="1:282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  <c r="JV700" s="1"/>
    </row>
    <row r="701" spans="1:282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  <c r="JV701" s="1"/>
    </row>
    <row r="702" spans="1:282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  <c r="JV702" s="1"/>
    </row>
    <row r="703" spans="1:282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  <c r="JV703" s="1"/>
    </row>
    <row r="704" spans="1:282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  <c r="JV704" s="1"/>
    </row>
    <row r="705" spans="1:282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  <c r="JV705" s="1"/>
    </row>
    <row r="706" spans="1:282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  <c r="JV706" s="1"/>
    </row>
    <row r="707" spans="1:282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  <c r="JV707" s="1"/>
    </row>
    <row r="708" spans="1:282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  <c r="JV708" s="1"/>
    </row>
    <row r="709" spans="1:282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  <c r="JV709" s="1"/>
    </row>
    <row r="710" spans="1:282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  <c r="JV710" s="1"/>
    </row>
    <row r="711" spans="1:282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  <c r="JV711" s="1"/>
    </row>
    <row r="712" spans="1:282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  <c r="JV712" s="1"/>
    </row>
    <row r="713" spans="1:282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  <c r="JV713" s="1"/>
    </row>
    <row r="714" spans="1:282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  <c r="JV714" s="1"/>
    </row>
    <row r="715" spans="1:282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  <c r="JV715" s="1"/>
    </row>
    <row r="716" spans="1:282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  <c r="JV716" s="1"/>
    </row>
    <row r="717" spans="1:282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  <c r="JV717" s="1"/>
    </row>
    <row r="718" spans="1:282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  <c r="JV718" s="1"/>
    </row>
    <row r="719" spans="1:282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  <c r="JV719" s="1"/>
    </row>
    <row r="720" spans="1:282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  <c r="JV720" s="1"/>
    </row>
    <row r="721" spans="1:282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  <c r="JV721" s="1"/>
    </row>
    <row r="722" spans="1:282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  <c r="JV722" s="1"/>
    </row>
    <row r="723" spans="1:282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  <c r="JV723" s="1"/>
    </row>
    <row r="724" spans="1:282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  <c r="JV724" s="1"/>
    </row>
    <row r="725" spans="1:282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  <c r="JV725" s="1"/>
    </row>
    <row r="726" spans="1:282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  <c r="JV726" s="1"/>
    </row>
    <row r="727" spans="1:282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  <c r="JV727" s="1"/>
    </row>
    <row r="728" spans="1:282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  <c r="JV728" s="1"/>
    </row>
    <row r="729" spans="1:282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  <c r="JV729" s="1"/>
    </row>
    <row r="730" spans="1:282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  <c r="JV730" s="1"/>
    </row>
    <row r="731" spans="1:282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  <c r="JV731" s="1"/>
    </row>
    <row r="732" spans="1:282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  <c r="JV732" s="1"/>
    </row>
    <row r="733" spans="1:282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  <c r="JV733" s="1"/>
    </row>
    <row r="734" spans="1:282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  <c r="JV734" s="1"/>
    </row>
    <row r="735" spans="1:282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  <c r="JV735" s="1"/>
    </row>
    <row r="736" spans="1:282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  <c r="JV736" s="1"/>
    </row>
    <row r="737" spans="1:282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  <c r="JV737" s="1"/>
    </row>
    <row r="738" spans="1:282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  <c r="JV738" s="1"/>
    </row>
    <row r="739" spans="1:282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  <c r="JV739" s="1"/>
    </row>
    <row r="740" spans="1:282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  <c r="JV740" s="1"/>
    </row>
    <row r="741" spans="1:282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  <c r="JV741" s="1"/>
    </row>
    <row r="742" spans="1:282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  <c r="JV742" s="1"/>
    </row>
    <row r="743" spans="1:282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  <c r="JV743" s="1"/>
    </row>
    <row r="744" spans="1:282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  <c r="JV744" s="1"/>
    </row>
    <row r="745" spans="1:282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  <c r="JV745" s="1"/>
    </row>
    <row r="746" spans="1:282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  <c r="JV746" s="1"/>
    </row>
    <row r="747" spans="1:282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  <c r="JV747" s="1"/>
    </row>
    <row r="748" spans="1:282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  <c r="JV748" s="1"/>
    </row>
    <row r="749" spans="1:282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  <c r="JV749" s="1"/>
    </row>
    <row r="750" spans="1:282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  <c r="JV750" s="1"/>
    </row>
    <row r="751" spans="1:282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  <c r="JV751" s="1"/>
    </row>
    <row r="752" spans="1:282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  <c r="JV752" s="1"/>
    </row>
    <row r="753" spans="1:282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  <c r="JV753" s="1"/>
    </row>
    <row r="754" spans="1:282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  <c r="JV754" s="1"/>
    </row>
    <row r="755" spans="1:282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  <c r="JV755" s="1"/>
    </row>
    <row r="756" spans="1:282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  <c r="JV756" s="1"/>
    </row>
    <row r="757" spans="1:282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  <c r="JV757" s="1"/>
    </row>
    <row r="758" spans="1:282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  <c r="JV758" s="1"/>
    </row>
    <row r="759" spans="1:282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  <c r="JV759" s="1"/>
    </row>
    <row r="760" spans="1:282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  <c r="JV760" s="1"/>
    </row>
    <row r="761" spans="1:282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  <c r="JV761" s="1"/>
    </row>
    <row r="762" spans="1:282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  <c r="JV762" s="1"/>
    </row>
    <row r="763" spans="1:282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  <c r="JV763" s="1"/>
    </row>
    <row r="764" spans="1:282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  <c r="JV764" s="1"/>
    </row>
    <row r="765" spans="1:282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  <c r="JV765" s="1"/>
    </row>
    <row r="766" spans="1:282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  <c r="JV766" s="1"/>
    </row>
    <row r="767" spans="1:282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  <c r="JV767" s="1"/>
    </row>
    <row r="768" spans="1:282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  <c r="JV768" s="1"/>
    </row>
    <row r="769" spans="1:282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  <c r="JV769" s="1"/>
    </row>
    <row r="770" spans="1:282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  <c r="JV770" s="1"/>
    </row>
    <row r="771" spans="1:282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  <c r="JV771" s="1"/>
    </row>
    <row r="772" spans="1:282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  <c r="JV772" s="1"/>
    </row>
    <row r="773" spans="1:282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  <c r="JV773" s="1"/>
    </row>
    <row r="774" spans="1:282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  <c r="JV774" s="1"/>
    </row>
    <row r="775" spans="1:282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  <c r="JV775" s="1"/>
    </row>
    <row r="776" spans="1:282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  <c r="JV776" s="1"/>
    </row>
    <row r="777" spans="1:282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  <c r="JV777" s="1"/>
    </row>
    <row r="778" spans="1:282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  <c r="JV778" s="1"/>
    </row>
    <row r="779" spans="1:282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  <c r="JV779" s="1"/>
    </row>
    <row r="780" spans="1:282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  <c r="JV780" s="1"/>
    </row>
    <row r="781" spans="1:282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  <c r="JV781" s="1"/>
    </row>
    <row r="782" spans="1:282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  <c r="JV782" s="1"/>
    </row>
    <row r="783" spans="1:282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  <c r="JV783" s="1"/>
    </row>
    <row r="784" spans="1:282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  <c r="JV784" s="1"/>
    </row>
    <row r="785" spans="1:282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  <c r="JV785" s="1"/>
    </row>
    <row r="786" spans="1:282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  <c r="JV786" s="1"/>
    </row>
    <row r="787" spans="1:282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  <c r="JV787" s="1"/>
    </row>
    <row r="788" spans="1:282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  <c r="JV788" s="1"/>
    </row>
    <row r="789" spans="1:282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  <c r="JV789" s="1"/>
    </row>
    <row r="790" spans="1:282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  <c r="JV790" s="1"/>
    </row>
    <row r="791" spans="1:282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  <c r="JV791" s="1"/>
    </row>
    <row r="792" spans="1:282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  <c r="JV792" s="1"/>
    </row>
    <row r="793" spans="1:282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  <c r="JV793" s="1"/>
    </row>
    <row r="794" spans="1:282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  <c r="JV794" s="1"/>
    </row>
    <row r="795" spans="1:282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  <c r="JV795" s="1"/>
    </row>
    <row r="796" spans="1:282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  <c r="JV796" s="1"/>
    </row>
    <row r="797" spans="1:282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  <c r="JV797" s="1"/>
    </row>
    <row r="798" spans="1:282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  <c r="JV798" s="1"/>
    </row>
    <row r="799" spans="1:282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  <c r="JV799" s="1"/>
    </row>
    <row r="800" spans="1:282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  <c r="JV800" s="1"/>
    </row>
    <row r="801" spans="1:282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  <c r="JV801" s="1"/>
    </row>
    <row r="802" spans="1:282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  <c r="JV802" s="1"/>
    </row>
    <row r="803" spans="1:282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  <c r="JV803" s="1"/>
    </row>
    <row r="804" spans="1:282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  <c r="JV804" s="1"/>
    </row>
    <row r="805" spans="1:282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  <c r="JV805" s="1"/>
    </row>
    <row r="806" spans="1:282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  <c r="JV806" s="1"/>
    </row>
    <row r="807" spans="1:282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  <c r="JV807" s="1"/>
    </row>
    <row r="808" spans="1:282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  <c r="JV808" s="1"/>
    </row>
    <row r="809" spans="1:282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  <c r="JV809" s="1"/>
    </row>
    <row r="810" spans="1:282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  <c r="JV810" s="1"/>
    </row>
    <row r="811" spans="1:282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  <c r="JV811" s="1"/>
    </row>
    <row r="812" spans="1:282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  <c r="JV812" s="1"/>
    </row>
    <row r="813" spans="1:282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  <c r="JV813" s="1"/>
    </row>
    <row r="814" spans="1:282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  <c r="JV814" s="1"/>
    </row>
    <row r="815" spans="1:282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  <c r="JV815" s="1"/>
    </row>
    <row r="816" spans="1:282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  <c r="JV816" s="1"/>
    </row>
    <row r="817" spans="1:282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  <c r="JV817" s="1"/>
    </row>
    <row r="818" spans="1:282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  <c r="JV818" s="1"/>
    </row>
    <row r="819" spans="1:282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  <c r="JV819" s="1"/>
    </row>
    <row r="820" spans="1:282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  <c r="JV820" s="1"/>
    </row>
    <row r="821" spans="1:282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  <c r="JV821" s="1"/>
    </row>
    <row r="822" spans="1:282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  <c r="JV822" s="1"/>
    </row>
    <row r="823" spans="1:282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  <c r="JV823" s="1"/>
    </row>
    <row r="824" spans="1:282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  <c r="JV824" s="1"/>
    </row>
    <row r="825" spans="1:282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  <c r="JV825" s="1"/>
    </row>
    <row r="826" spans="1:282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  <c r="JV826" s="1"/>
    </row>
    <row r="827" spans="1:282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  <c r="JV827" s="1"/>
    </row>
    <row r="828" spans="1:282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  <c r="JV828" s="1"/>
    </row>
    <row r="829" spans="1:282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  <c r="JV829" s="1"/>
    </row>
    <row r="830" spans="1:282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  <c r="JV830" s="1"/>
    </row>
    <row r="831" spans="1:282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  <c r="JV831" s="1"/>
    </row>
    <row r="832" spans="1:282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  <c r="JV832" s="1"/>
    </row>
    <row r="833" spans="1:282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  <c r="JV833" s="1"/>
    </row>
    <row r="834" spans="1:282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  <c r="JV834" s="1"/>
    </row>
    <row r="835" spans="1:282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  <c r="JV835" s="1"/>
    </row>
    <row r="836" spans="1:282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  <c r="JV836" s="1"/>
    </row>
    <row r="837" spans="1:282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  <c r="JV837" s="1"/>
    </row>
    <row r="838" spans="1:282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  <c r="JV838" s="1"/>
    </row>
    <row r="839" spans="1:282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  <c r="JV839" s="1"/>
    </row>
    <row r="840" spans="1:282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  <c r="JV840" s="1"/>
    </row>
    <row r="841" spans="1:282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  <c r="JV841" s="1"/>
    </row>
    <row r="842" spans="1:282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  <c r="JV842" s="1"/>
    </row>
    <row r="843" spans="1:282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  <c r="JV843" s="1"/>
    </row>
    <row r="844" spans="1:282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  <c r="JV844" s="1"/>
    </row>
    <row r="845" spans="1:282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  <c r="JV845" s="1"/>
    </row>
    <row r="846" spans="1:282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  <c r="JV846" s="1"/>
    </row>
    <row r="847" spans="1:282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  <c r="JV847" s="1"/>
    </row>
    <row r="848" spans="1:282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  <c r="JV848" s="1"/>
    </row>
    <row r="849" spans="1:282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  <c r="JV849" s="1"/>
    </row>
    <row r="850" spans="1:282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  <c r="JV850" s="1"/>
    </row>
    <row r="851" spans="1:282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  <c r="JV851" s="1"/>
    </row>
    <row r="852" spans="1:282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  <c r="JV852" s="1"/>
    </row>
    <row r="853" spans="1:282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  <c r="JV853" s="1"/>
    </row>
    <row r="854" spans="1:282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  <c r="JV854" s="1"/>
    </row>
    <row r="855" spans="1:282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  <c r="JV855" s="1"/>
    </row>
    <row r="856" spans="1:282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  <c r="JV856" s="1"/>
    </row>
    <row r="857" spans="1:282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  <c r="JV857" s="1"/>
    </row>
    <row r="858" spans="1:282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  <c r="JV858" s="1"/>
    </row>
    <row r="859" spans="1:282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  <c r="JV859" s="1"/>
    </row>
    <row r="860" spans="1:282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  <c r="JV860" s="1"/>
    </row>
    <row r="861" spans="1:282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  <c r="JV861" s="1"/>
    </row>
    <row r="862" spans="1:282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  <c r="JV862" s="1"/>
    </row>
    <row r="863" spans="1:282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  <c r="JV863" s="1"/>
    </row>
    <row r="864" spans="1:282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  <c r="JV864" s="1"/>
    </row>
    <row r="865" spans="1:282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  <c r="JV865" s="1"/>
    </row>
    <row r="866" spans="1:282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  <c r="JV866" s="1"/>
    </row>
    <row r="867" spans="1:282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  <c r="JV867" s="1"/>
    </row>
    <row r="868" spans="1:282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  <c r="JV868" s="1"/>
    </row>
    <row r="869" spans="1:282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  <c r="JV869" s="1"/>
    </row>
    <row r="870" spans="1:282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  <c r="JV870" s="1"/>
    </row>
    <row r="871" spans="1:282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  <c r="JV871" s="1"/>
    </row>
    <row r="872" spans="1:282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  <c r="JV872" s="1"/>
    </row>
    <row r="873" spans="1:282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  <c r="JV873" s="1"/>
    </row>
    <row r="874" spans="1:282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  <c r="JV874" s="1"/>
    </row>
    <row r="875" spans="1:282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  <c r="JV875" s="1"/>
    </row>
    <row r="876" spans="1:282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  <c r="JV876" s="1"/>
    </row>
    <row r="877" spans="1:282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  <c r="JV877" s="1"/>
    </row>
    <row r="878" spans="1:282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  <c r="JV878" s="1"/>
    </row>
    <row r="879" spans="1:282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  <c r="JV879" s="1"/>
    </row>
    <row r="880" spans="1:282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  <c r="JV880" s="1"/>
    </row>
    <row r="881" spans="1:282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  <c r="JV881" s="1"/>
    </row>
    <row r="882" spans="1:282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  <c r="JV882" s="1"/>
    </row>
    <row r="883" spans="1:282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  <c r="JV883" s="1"/>
    </row>
    <row r="884" spans="1:282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  <c r="JV884" s="1"/>
    </row>
    <row r="885" spans="1:282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  <c r="JV885" s="1"/>
    </row>
    <row r="886" spans="1:282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  <c r="JV886" s="1"/>
    </row>
    <row r="887" spans="1:282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  <c r="JV887" s="1"/>
    </row>
    <row r="888" spans="1:282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  <c r="JV888" s="1"/>
    </row>
    <row r="889" spans="1:282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  <c r="JV889" s="1"/>
    </row>
    <row r="890" spans="1:282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  <c r="JV890" s="1"/>
    </row>
    <row r="891" spans="1:282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  <c r="JV891" s="1"/>
    </row>
    <row r="892" spans="1:282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  <c r="JV892" s="1"/>
    </row>
    <row r="893" spans="1:282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  <c r="JV893" s="1"/>
    </row>
    <row r="894" spans="1:282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  <c r="JV894" s="1"/>
    </row>
    <row r="895" spans="1:282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  <c r="JV895" s="1"/>
    </row>
    <row r="896" spans="1:282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  <c r="JV896" s="1"/>
    </row>
    <row r="897" spans="1:282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  <c r="JV897" s="1"/>
    </row>
    <row r="898" spans="1:282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  <c r="JV898" s="1"/>
    </row>
    <row r="899" spans="1:282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  <c r="JV899" s="1"/>
    </row>
    <row r="900" spans="1:282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  <c r="JV900" s="1"/>
    </row>
    <row r="901" spans="1:282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  <c r="JV901" s="1"/>
    </row>
    <row r="902" spans="1:282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  <c r="JV902" s="1"/>
    </row>
    <row r="903" spans="1:282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  <c r="JV903" s="1"/>
    </row>
    <row r="904" spans="1:282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  <c r="JV904" s="1"/>
    </row>
    <row r="905" spans="1:282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  <c r="JV905" s="1"/>
    </row>
    <row r="906" spans="1:282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  <c r="JV906" s="1"/>
    </row>
    <row r="907" spans="1:282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  <c r="JV907" s="1"/>
    </row>
    <row r="908" spans="1:282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  <c r="JV908" s="1"/>
    </row>
    <row r="909" spans="1:282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  <c r="JV909" s="1"/>
    </row>
    <row r="910" spans="1:282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  <c r="JV910" s="1"/>
    </row>
    <row r="911" spans="1:282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  <c r="JV911" s="1"/>
    </row>
    <row r="912" spans="1:282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  <c r="JV912" s="1"/>
    </row>
    <row r="913" spans="1:282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  <c r="JV913" s="1"/>
    </row>
    <row r="914" spans="1:282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  <c r="JV914" s="1"/>
    </row>
    <row r="915" spans="1:282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  <c r="JV915" s="1"/>
    </row>
    <row r="916" spans="1:282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  <c r="JV916" s="1"/>
    </row>
    <row r="917" spans="1:282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  <c r="JV917" s="1"/>
    </row>
    <row r="918" spans="1:282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  <c r="JV918" s="1"/>
    </row>
    <row r="919" spans="1:282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  <c r="JV919" s="1"/>
    </row>
    <row r="920" spans="1:282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  <c r="JV920" s="1"/>
    </row>
    <row r="921" spans="1:282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  <c r="JV921" s="1"/>
    </row>
    <row r="922" spans="1:282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  <c r="JV922" s="1"/>
    </row>
    <row r="923" spans="1:282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  <c r="JV923" s="1"/>
    </row>
    <row r="924" spans="1:282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  <c r="JV924" s="1"/>
    </row>
    <row r="925" spans="1:282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  <c r="JV925" s="1"/>
    </row>
    <row r="926" spans="1:282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  <c r="JV926" s="1"/>
    </row>
    <row r="927" spans="1:282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  <c r="JV927" s="1"/>
    </row>
    <row r="928" spans="1:282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  <c r="JV928" s="1"/>
    </row>
    <row r="929" spans="1:282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  <c r="JV929" s="1"/>
    </row>
    <row r="930" spans="1:282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  <c r="JV930" s="1"/>
    </row>
    <row r="931" spans="1:282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  <c r="JV931" s="1"/>
    </row>
    <row r="932" spans="1:282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  <c r="JV932" s="1"/>
    </row>
    <row r="933" spans="1:282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  <c r="JV933" s="1"/>
    </row>
    <row r="934" spans="1:282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  <c r="JV934" s="1"/>
    </row>
    <row r="935" spans="1:282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  <c r="JV935" s="1"/>
    </row>
    <row r="936" spans="1:282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  <c r="JV936" s="1"/>
    </row>
    <row r="937" spans="1:282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  <c r="JV937" s="1"/>
    </row>
    <row r="938" spans="1:282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  <c r="JV938" s="1"/>
    </row>
    <row r="939" spans="1:282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  <c r="JV939" s="1"/>
    </row>
    <row r="940" spans="1:282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  <c r="JV940" s="1"/>
    </row>
    <row r="941" spans="1:282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  <c r="JV941" s="1"/>
    </row>
    <row r="942" spans="1:282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  <c r="JV942" s="1"/>
    </row>
    <row r="943" spans="1:282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  <c r="JV943" s="1"/>
    </row>
    <row r="944" spans="1:282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  <c r="JV944" s="1"/>
    </row>
    <row r="945" spans="1:282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  <c r="JV945" s="1"/>
    </row>
    <row r="946" spans="1:282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  <c r="JV946" s="1"/>
    </row>
    <row r="947" spans="1:282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  <c r="JV947" s="1"/>
    </row>
    <row r="948" spans="1:282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  <c r="JV948" s="1"/>
    </row>
    <row r="949" spans="1:282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  <c r="JV949" s="1"/>
    </row>
    <row r="950" spans="1:282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  <c r="JV950" s="1"/>
    </row>
    <row r="951" spans="1:282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  <c r="JV951" s="1"/>
    </row>
    <row r="952" spans="1:282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  <c r="JV952" s="1"/>
    </row>
    <row r="953" spans="1:282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  <c r="JV953" s="1"/>
    </row>
    <row r="954" spans="1:282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  <c r="JV954" s="1"/>
    </row>
    <row r="955" spans="1:282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  <c r="JV955" s="1"/>
    </row>
    <row r="956" spans="1:282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  <c r="JV956" s="1"/>
    </row>
    <row r="957" spans="1:282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  <c r="JV957" s="1"/>
    </row>
    <row r="958" spans="1:282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  <c r="JV958" s="1"/>
    </row>
    <row r="959" spans="1:282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  <c r="JV959" s="1"/>
    </row>
    <row r="960" spans="1:282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  <c r="JV960" s="1"/>
    </row>
    <row r="961" spans="1:282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  <c r="JV961" s="1"/>
    </row>
    <row r="962" spans="1:282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  <c r="JV962" s="1"/>
    </row>
    <row r="963" spans="1:282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  <c r="JV963" s="1"/>
    </row>
    <row r="964" spans="1:282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  <c r="JV964" s="1"/>
    </row>
    <row r="965" spans="1:282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  <c r="JV965" s="1"/>
    </row>
    <row r="966" spans="1:282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  <c r="JV966" s="1"/>
    </row>
    <row r="967" spans="1:282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  <c r="JV967" s="1"/>
    </row>
    <row r="968" spans="1:282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  <c r="JV968" s="1"/>
    </row>
    <row r="969" spans="1:282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  <c r="JV969" s="1"/>
    </row>
    <row r="970" spans="1:282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  <c r="JV970" s="1"/>
    </row>
    <row r="971" spans="1:282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  <c r="JV971" s="1"/>
    </row>
    <row r="972" spans="1:282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  <c r="JV972" s="1"/>
    </row>
    <row r="973" spans="1:282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  <c r="JV973" s="1"/>
    </row>
    <row r="974" spans="1:282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  <c r="JV974" s="1"/>
    </row>
    <row r="975" spans="1:282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  <c r="JV975" s="1"/>
    </row>
    <row r="976" spans="1:282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  <c r="JV976" s="1"/>
    </row>
    <row r="977" spans="1:282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  <c r="JV977" s="1"/>
    </row>
    <row r="978" spans="1:282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  <c r="JV978" s="1"/>
    </row>
    <row r="979" spans="1:282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  <c r="JV979" s="1"/>
    </row>
    <row r="980" spans="1:282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  <c r="JV980" s="1"/>
    </row>
    <row r="981" spans="1:282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  <c r="JV981" s="1"/>
    </row>
    <row r="982" spans="1:282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  <c r="JV982" s="1"/>
    </row>
    <row r="983" spans="1:282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  <c r="JV983" s="1"/>
    </row>
    <row r="984" spans="1:282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  <c r="JV984" s="1"/>
    </row>
    <row r="985" spans="1:282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  <c r="JV985" s="1"/>
    </row>
    <row r="986" spans="1:282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  <c r="JV986" s="1"/>
    </row>
    <row r="987" spans="1:282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  <c r="JV987" s="1"/>
    </row>
    <row r="988" spans="1:282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  <c r="JV988" s="1"/>
    </row>
    <row r="989" spans="1:282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  <c r="JV989" s="1"/>
    </row>
    <row r="990" spans="1:282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  <c r="JV990" s="1"/>
    </row>
    <row r="991" spans="1:282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  <c r="JV991" s="1"/>
    </row>
    <row r="992" spans="1:282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  <c r="JV992" s="1"/>
    </row>
    <row r="993" spans="1:282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  <c r="JV993" s="1"/>
    </row>
    <row r="994" spans="1:282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  <c r="JV994" s="1"/>
    </row>
    <row r="995" spans="1:282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  <c r="JV995" s="1"/>
    </row>
    <row r="996" spans="1:282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  <c r="JV996" s="1"/>
    </row>
    <row r="997" spans="1:282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  <c r="JV997" s="1"/>
    </row>
    <row r="998" spans="1:282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  <c r="JV998" s="1"/>
    </row>
    <row r="999" spans="1:282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  <c r="JV999" s="1"/>
    </row>
    <row r="1000" spans="1:282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  <c r="JV1000" s="1"/>
    </row>
    <row r="1001" spans="1:282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  <c r="JV1001" s="1"/>
    </row>
    <row r="1002" spans="1:282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  <c r="JU1002" s="1"/>
      <c r="JV1002" s="1"/>
    </row>
    <row r="1003" spans="1:282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  <c r="JU1003" s="1"/>
      <c r="JV1003" s="1"/>
    </row>
    <row r="1004" spans="1:282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  <c r="JU1004" s="1"/>
      <c r="JV1004" s="1"/>
    </row>
    <row r="1005" spans="1:282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  <c r="JU1005" s="1"/>
      <c r="JV1005" s="1"/>
    </row>
    <row r="1006" spans="1:282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  <c r="JU1006" s="1"/>
      <c r="JV1006" s="1"/>
    </row>
    <row r="1007" spans="1:282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  <c r="JU1007" s="1"/>
      <c r="JV1007" s="1"/>
    </row>
    <row r="1008" spans="1:282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  <c r="JU1008" s="1"/>
      <c r="JV1008" s="1"/>
    </row>
    <row r="1009" spans="1:282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  <c r="JU1009" s="1"/>
      <c r="JV1009" s="1"/>
    </row>
    <row r="1010" spans="1:282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  <c r="JU1010" s="1"/>
      <c r="JV1010" s="1"/>
    </row>
    <row r="1011" spans="1:282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  <c r="JU1011" s="1"/>
      <c r="JV1011" s="1"/>
    </row>
    <row r="1012" spans="1:282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  <c r="JU1012" s="1"/>
      <c r="JV1012" s="1"/>
    </row>
    <row r="1013" spans="1:282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  <c r="JU1013" s="1"/>
      <c r="JV1013" s="1"/>
    </row>
    <row r="1014" spans="1:282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  <c r="JU1014" s="1"/>
      <c r="JV1014" s="1"/>
    </row>
    <row r="1015" spans="1:282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  <c r="JU1015" s="1"/>
      <c r="JV1015" s="1"/>
    </row>
    <row r="1016" spans="1:282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  <c r="JU1016" s="1"/>
      <c r="JV1016" s="1"/>
    </row>
    <row r="1017" spans="1:282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  <c r="JU1017" s="1"/>
      <c r="JV1017" s="1"/>
    </row>
    <row r="1018" spans="1:282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  <c r="JU1018" s="1"/>
      <c r="JV1018" s="1"/>
    </row>
    <row r="1019" spans="1:282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  <c r="JU1019" s="1"/>
      <c r="JV1019" s="1"/>
    </row>
    <row r="1020" spans="1:282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  <c r="JU1020" s="1"/>
      <c r="JV1020" s="1"/>
    </row>
    <row r="1021" spans="1:282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  <c r="JU1021" s="1"/>
      <c r="JV1021" s="1"/>
    </row>
    <row r="1022" spans="1:282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  <c r="JU1022" s="1"/>
      <c r="JV1022" s="1"/>
    </row>
    <row r="1023" spans="1:282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  <c r="JU1023" s="1"/>
      <c r="JV1023" s="1"/>
    </row>
    <row r="1024" spans="1:282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  <c r="JU1024" s="1"/>
      <c r="JV1024" s="1"/>
    </row>
    <row r="1025" spans="1:282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  <c r="JU1025" s="1"/>
      <c r="JV1025" s="1"/>
    </row>
    <row r="1026" spans="1:282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  <c r="JU1026" s="1"/>
      <c r="JV1026" s="1"/>
    </row>
    <row r="1027" spans="1:282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  <c r="JU1027" s="1"/>
      <c r="JV1027" s="1"/>
    </row>
    <row r="1028" spans="1:282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  <c r="JU1028" s="1"/>
      <c r="JV1028" s="1"/>
    </row>
    <row r="1029" spans="1:282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  <c r="JU1029" s="1"/>
      <c r="JV1029" s="1"/>
    </row>
    <row r="1030" spans="1:282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  <c r="JU1030" s="1"/>
      <c r="JV1030" s="1"/>
    </row>
    <row r="1031" spans="1:282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  <c r="JU1031" s="1"/>
      <c r="JV1031" s="1"/>
    </row>
    <row r="1032" spans="1:282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  <c r="JU1032" s="1"/>
      <c r="JV1032" s="1"/>
    </row>
    <row r="1033" spans="1:282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  <c r="JU1033" s="1"/>
      <c r="JV1033" s="1"/>
    </row>
    <row r="1034" spans="1:282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  <c r="JU1034" s="1"/>
      <c r="JV1034" s="1"/>
    </row>
    <row r="1035" spans="1:282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  <c r="JU1035" s="1"/>
      <c r="JV1035" s="1"/>
    </row>
    <row r="1036" spans="1:282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  <c r="JU1036" s="1"/>
      <c r="JV1036" s="1"/>
    </row>
    <row r="1037" spans="1:282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  <c r="JU1037" s="1"/>
      <c r="JV1037" s="1"/>
    </row>
    <row r="1038" spans="1:282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  <c r="JU1038" s="1"/>
      <c r="JV1038" s="1"/>
    </row>
    <row r="1039" spans="1:282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  <c r="JU1039" s="1"/>
      <c r="JV1039" s="1"/>
    </row>
    <row r="1040" spans="1:282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  <c r="JU1040" s="1"/>
      <c r="JV1040" s="1"/>
    </row>
    <row r="1041" spans="1:282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  <c r="JU1041" s="1"/>
      <c r="JV1041" s="1"/>
    </row>
    <row r="1042" spans="1:282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  <c r="JU1042" s="1"/>
      <c r="JV1042" s="1"/>
    </row>
    <row r="1043" spans="1:282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  <c r="JU1043" s="1"/>
      <c r="JV1043" s="1"/>
    </row>
    <row r="1044" spans="1:282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  <c r="JU1044" s="1"/>
      <c r="JV1044" s="1"/>
    </row>
    <row r="1045" spans="1:282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  <c r="JU1045" s="1"/>
      <c r="JV1045" s="1"/>
    </row>
    <row r="1046" spans="1:282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  <c r="JU1046" s="1"/>
      <c r="JV1046" s="1"/>
    </row>
    <row r="1047" spans="1:282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  <c r="JU1047" s="1"/>
      <c r="JV1047" s="1"/>
    </row>
    <row r="1048" spans="1:282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  <c r="JU1048" s="1"/>
      <c r="JV1048" s="1"/>
    </row>
    <row r="1049" spans="1:282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  <c r="JU1049" s="1"/>
      <c r="JV1049" s="1"/>
    </row>
    <row r="1050" spans="1:282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  <c r="JU1050" s="1"/>
      <c r="JV1050" s="1"/>
    </row>
    <row r="1051" spans="1:282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  <c r="JU1051" s="1"/>
      <c r="JV1051" s="1"/>
    </row>
    <row r="1052" spans="1:282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  <c r="JU1052" s="1"/>
      <c r="JV1052" s="1"/>
    </row>
    <row r="1053" spans="1:282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  <c r="JU1053" s="1"/>
      <c r="JV1053" s="1"/>
    </row>
    <row r="1054" spans="1:282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  <c r="JT1054" s="1"/>
      <c r="JU1054" s="1"/>
      <c r="JV1054" s="1"/>
    </row>
    <row r="1055" spans="1:282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  <c r="JT1055" s="1"/>
      <c r="JU1055" s="1"/>
      <c r="JV1055" s="1"/>
    </row>
    <row r="1056" spans="1:282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  <c r="JT1056" s="1"/>
      <c r="JU1056" s="1"/>
      <c r="JV1056" s="1"/>
    </row>
    <row r="1057" spans="1:282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  <c r="JT1057" s="1"/>
      <c r="JU1057" s="1"/>
      <c r="JV1057" s="1"/>
    </row>
    <row r="1058" spans="1:282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  <c r="JT1058" s="1"/>
      <c r="JU1058" s="1"/>
      <c r="JV1058" s="1"/>
    </row>
    <row r="1059" spans="1:282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  <c r="JT1059" s="1"/>
      <c r="JU1059" s="1"/>
      <c r="JV1059" s="1"/>
    </row>
    <row r="1060" spans="1:282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  <c r="JT1060" s="1"/>
      <c r="JU1060" s="1"/>
      <c r="JV1060" s="1"/>
    </row>
    <row r="1061" spans="1:282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  <c r="JT1061" s="1"/>
      <c r="JU1061" s="1"/>
      <c r="JV1061" s="1"/>
    </row>
    <row r="1062" spans="1:282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  <c r="JT1062" s="1"/>
      <c r="JU1062" s="1"/>
      <c r="JV1062" s="1"/>
    </row>
    <row r="1063" spans="1:282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  <c r="JT1063" s="1"/>
      <c r="JU1063" s="1"/>
      <c r="JV1063" s="1"/>
    </row>
    <row r="1064" spans="1:282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  <c r="JT1064" s="1"/>
      <c r="JU1064" s="1"/>
      <c r="JV1064" s="1"/>
    </row>
    <row r="1065" spans="1:282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  <c r="JT1065" s="1"/>
      <c r="JU1065" s="1"/>
      <c r="JV1065" s="1"/>
    </row>
    <row r="1066" spans="1:282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  <c r="JT1066" s="1"/>
      <c r="JU1066" s="1"/>
      <c r="JV1066" s="1"/>
    </row>
    <row r="1067" spans="1:282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  <c r="JT1067" s="1"/>
      <c r="JU1067" s="1"/>
      <c r="JV1067" s="1"/>
    </row>
    <row r="1068" spans="1:282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  <c r="JT1068" s="1"/>
      <c r="JU1068" s="1"/>
      <c r="JV1068" s="1"/>
    </row>
    <row r="1069" spans="1:282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  <c r="JT1069" s="1"/>
      <c r="JU1069" s="1"/>
      <c r="JV1069" s="1"/>
    </row>
    <row r="1070" spans="1:282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  <c r="JT1070" s="1"/>
      <c r="JU1070" s="1"/>
      <c r="JV1070" s="1"/>
    </row>
    <row r="1071" spans="1:282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  <c r="JS1071" s="1"/>
      <c r="JT1071" s="1"/>
      <c r="JU1071" s="1"/>
      <c r="JV1071" s="1"/>
    </row>
    <row r="1072" spans="1:282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  <c r="JS1072" s="1"/>
      <c r="JT1072" s="1"/>
      <c r="JU1072" s="1"/>
      <c r="JV1072" s="1"/>
    </row>
    <row r="1073" spans="1:282" x14ac:dyDescent="0.25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  <c r="BR1073" s="1"/>
      <c r="BS1073" s="1"/>
      <c r="BT1073" s="1"/>
      <c r="BU1073" s="1"/>
      <c r="BV1073" s="1"/>
      <c r="BW1073" s="1"/>
      <c r="BX1073" s="1"/>
      <c r="BY1073" s="1"/>
      <c r="BZ1073" s="1"/>
      <c r="CA1073" s="1"/>
      <c r="CB1073" s="1"/>
      <c r="CC1073" s="1"/>
      <c r="CD1073" s="1"/>
      <c r="CE1073" s="1"/>
      <c r="CF1073" s="1"/>
      <c r="CG1073" s="1"/>
      <c r="CH1073" s="1"/>
      <c r="CI1073" s="1"/>
      <c r="CJ1073" s="1"/>
      <c r="CK1073" s="1"/>
      <c r="CL1073" s="1"/>
      <c r="CM1073" s="1"/>
      <c r="CN1073" s="1"/>
      <c r="CO1073" s="1"/>
      <c r="CP1073" s="1"/>
      <c r="CQ1073" s="1"/>
      <c r="CR1073" s="1"/>
      <c r="CS1073" s="1"/>
      <c r="CT1073" s="1"/>
      <c r="CU1073" s="1"/>
      <c r="CV1073" s="1"/>
      <c r="CW1073" s="1"/>
      <c r="CX1073" s="1"/>
      <c r="CY1073" s="1"/>
      <c r="CZ1073" s="1"/>
      <c r="DA1073" s="1"/>
      <c r="DB1073" s="1"/>
      <c r="DC1073" s="1"/>
      <c r="DD1073" s="1"/>
      <c r="DE1073" s="1"/>
      <c r="DF1073" s="1"/>
      <c r="DG1073" s="1"/>
      <c r="DH1073" s="1"/>
      <c r="DI1073" s="1"/>
      <c r="DJ1073" s="1"/>
      <c r="DK1073" s="1"/>
      <c r="DL1073" s="1"/>
      <c r="DM1073" s="1"/>
      <c r="DN1073" s="1"/>
      <c r="DO1073" s="1"/>
      <c r="DP1073" s="1"/>
      <c r="DQ1073" s="1"/>
      <c r="DR1073" s="1"/>
      <c r="DS1073" s="1"/>
      <c r="DT1073" s="1"/>
      <c r="DU1073" s="1"/>
      <c r="DV1073" s="1"/>
      <c r="DW1073" s="1"/>
      <c r="DX1073" s="1"/>
      <c r="DY1073" s="1"/>
      <c r="DZ1073" s="1"/>
      <c r="EA1073" s="1"/>
      <c r="EB1073" s="1"/>
      <c r="EC1073" s="1"/>
      <c r="ED1073" s="1"/>
      <c r="EE1073" s="1"/>
      <c r="EF1073" s="1"/>
      <c r="EG1073" s="1"/>
      <c r="EH1073" s="1"/>
      <c r="EI1073" s="1"/>
      <c r="EJ1073" s="1"/>
      <c r="EK1073" s="1"/>
      <c r="EL1073" s="1"/>
      <c r="EM1073" s="1"/>
      <c r="EN1073" s="1"/>
      <c r="EO1073" s="1"/>
      <c r="EP1073" s="1"/>
      <c r="EQ1073" s="1"/>
      <c r="ER1073" s="1"/>
      <c r="ES1073" s="1"/>
      <c r="ET1073" s="1"/>
      <c r="EU1073" s="1"/>
      <c r="EV1073" s="1"/>
      <c r="EW1073" s="1"/>
      <c r="EX1073" s="1"/>
      <c r="EY1073" s="1"/>
      <c r="EZ1073" s="1"/>
      <c r="FA1073" s="1"/>
      <c r="FB1073" s="1"/>
      <c r="FC1073" s="1"/>
      <c r="FD1073" s="1"/>
      <c r="FE1073" s="1"/>
      <c r="FF1073" s="1"/>
      <c r="FG1073" s="1"/>
      <c r="FH1073" s="1"/>
      <c r="FI1073" s="1"/>
      <c r="FJ1073" s="1"/>
      <c r="FK1073" s="1"/>
      <c r="FL1073" s="1"/>
      <c r="FM1073" s="1"/>
      <c r="FN1073" s="1"/>
      <c r="FO1073" s="1"/>
      <c r="FP1073" s="1"/>
      <c r="FQ1073" s="1"/>
      <c r="FR1073" s="1"/>
      <c r="FS1073" s="1"/>
      <c r="FT1073" s="1"/>
      <c r="FU1073" s="1"/>
      <c r="FV1073" s="1"/>
      <c r="FW1073" s="1"/>
      <c r="FX1073" s="1"/>
      <c r="FY1073" s="1"/>
      <c r="FZ1073" s="1"/>
      <c r="GA1073" s="1"/>
      <c r="GB1073" s="1"/>
      <c r="GC1073" s="1"/>
      <c r="GD1073" s="1"/>
      <c r="GE1073" s="1"/>
      <c r="GF1073" s="1"/>
      <c r="GG1073" s="1"/>
      <c r="GH1073" s="1"/>
      <c r="GI1073" s="1"/>
      <c r="GJ1073" s="1"/>
      <c r="GK1073" s="1"/>
      <c r="GL1073" s="1"/>
      <c r="GM1073" s="1"/>
      <c r="GN1073" s="1"/>
      <c r="GO1073" s="1"/>
      <c r="GP1073" s="1"/>
      <c r="GQ1073" s="1"/>
      <c r="GR1073" s="1"/>
      <c r="GS1073" s="1"/>
      <c r="GT1073" s="1"/>
      <c r="GU1073" s="1"/>
      <c r="GV1073" s="1"/>
      <c r="GW1073" s="1"/>
      <c r="GX1073" s="1"/>
      <c r="GY1073" s="1"/>
      <c r="GZ1073" s="1"/>
      <c r="HA1073" s="1"/>
      <c r="HB1073" s="1"/>
      <c r="HC1073" s="1"/>
      <c r="HD1073" s="1"/>
      <c r="HE1073" s="1"/>
      <c r="HF1073" s="1"/>
      <c r="HG1073" s="1"/>
      <c r="HH1073" s="1"/>
      <c r="HI1073" s="1"/>
      <c r="HJ1073" s="1"/>
      <c r="HK1073" s="1"/>
      <c r="HL1073" s="1"/>
      <c r="HM1073" s="1"/>
      <c r="HN1073" s="1"/>
      <c r="HO1073" s="1"/>
      <c r="HP1073" s="1"/>
      <c r="HQ1073" s="1"/>
      <c r="HR1073" s="1"/>
      <c r="HS1073" s="1"/>
      <c r="HT1073" s="1"/>
      <c r="HU1073" s="1"/>
      <c r="HV1073" s="1"/>
      <c r="HW1073" s="1"/>
      <c r="HX1073" s="1"/>
      <c r="HY1073" s="1"/>
      <c r="HZ1073" s="1"/>
      <c r="IA1073" s="1"/>
      <c r="IB1073" s="1"/>
      <c r="IC1073" s="1"/>
      <c r="ID1073" s="1"/>
      <c r="IE1073" s="1"/>
      <c r="IF1073" s="1"/>
      <c r="IG1073" s="1"/>
      <c r="IH1073" s="1"/>
      <c r="II1073" s="1"/>
      <c r="IJ1073" s="1"/>
      <c r="IK1073" s="1"/>
      <c r="IL1073" s="1"/>
      <c r="IM1073" s="1"/>
      <c r="IN1073" s="1"/>
      <c r="IO1073" s="1"/>
      <c r="IP1073" s="1"/>
      <c r="IQ1073" s="1"/>
      <c r="IR1073" s="1"/>
      <c r="IS1073" s="1"/>
      <c r="IT1073" s="1"/>
      <c r="IU1073" s="1"/>
      <c r="IV1073" s="1"/>
      <c r="IW1073" s="1"/>
      <c r="IX1073" s="1"/>
      <c r="IY1073" s="1"/>
      <c r="IZ1073" s="1"/>
      <c r="JA1073" s="1"/>
      <c r="JB1073" s="1"/>
      <c r="JC1073" s="1"/>
      <c r="JD1073" s="1"/>
      <c r="JE1073" s="1"/>
      <c r="JF1073" s="1"/>
      <c r="JG1073" s="1"/>
      <c r="JH1073" s="1"/>
      <c r="JI1073" s="1"/>
      <c r="JJ1073" s="1"/>
      <c r="JK1073" s="1"/>
      <c r="JL1073" s="1"/>
      <c r="JM1073" s="1"/>
      <c r="JN1073" s="1"/>
      <c r="JO1073" s="1"/>
      <c r="JP1073" s="1"/>
      <c r="JQ1073" s="1"/>
      <c r="JR1073" s="1"/>
      <c r="JS1073" s="1"/>
      <c r="JT1073" s="1"/>
      <c r="JU1073" s="1"/>
      <c r="JV1073" s="1"/>
    </row>
    <row r="1074" spans="1:282" x14ac:dyDescent="0.25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  <c r="BR1074" s="1"/>
      <c r="BS1074" s="1"/>
      <c r="BT1074" s="1"/>
      <c r="BU1074" s="1"/>
      <c r="BV1074" s="1"/>
      <c r="BW1074" s="1"/>
      <c r="BX1074" s="1"/>
      <c r="BY1074" s="1"/>
      <c r="BZ1074" s="1"/>
      <c r="CA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  <c r="CO1074" s="1"/>
      <c r="CP1074" s="1"/>
      <c r="CQ1074" s="1"/>
      <c r="CR1074" s="1"/>
      <c r="CS1074" s="1"/>
      <c r="CT1074" s="1"/>
      <c r="CU1074" s="1"/>
      <c r="CV1074" s="1"/>
      <c r="CW1074" s="1"/>
      <c r="CX1074" s="1"/>
      <c r="CY1074" s="1"/>
      <c r="CZ1074" s="1"/>
      <c r="DA1074" s="1"/>
      <c r="DB1074" s="1"/>
      <c r="DC1074" s="1"/>
      <c r="DD1074" s="1"/>
      <c r="DE1074" s="1"/>
      <c r="DF1074" s="1"/>
      <c r="DG1074" s="1"/>
      <c r="DH1074" s="1"/>
      <c r="DI1074" s="1"/>
      <c r="DJ1074" s="1"/>
      <c r="DK1074" s="1"/>
      <c r="DL1074" s="1"/>
      <c r="DM1074" s="1"/>
      <c r="DN1074" s="1"/>
      <c r="DO1074" s="1"/>
      <c r="DP1074" s="1"/>
      <c r="DQ1074" s="1"/>
      <c r="DR1074" s="1"/>
      <c r="DS1074" s="1"/>
      <c r="DT1074" s="1"/>
      <c r="DU1074" s="1"/>
      <c r="DV1074" s="1"/>
      <c r="DW1074" s="1"/>
      <c r="DX1074" s="1"/>
      <c r="DY1074" s="1"/>
      <c r="DZ1074" s="1"/>
      <c r="EA1074" s="1"/>
      <c r="EB1074" s="1"/>
      <c r="EC1074" s="1"/>
      <c r="ED1074" s="1"/>
      <c r="EE1074" s="1"/>
      <c r="EF1074" s="1"/>
      <c r="EG1074" s="1"/>
      <c r="EH1074" s="1"/>
      <c r="EI1074" s="1"/>
      <c r="EJ1074" s="1"/>
      <c r="EK1074" s="1"/>
      <c r="EL1074" s="1"/>
      <c r="EM1074" s="1"/>
      <c r="EN1074" s="1"/>
      <c r="EO1074" s="1"/>
      <c r="EP1074" s="1"/>
      <c r="EQ1074" s="1"/>
      <c r="ER1074" s="1"/>
      <c r="ES1074" s="1"/>
      <c r="ET1074" s="1"/>
      <c r="EU1074" s="1"/>
      <c r="EV1074" s="1"/>
      <c r="EW1074" s="1"/>
      <c r="EX1074" s="1"/>
      <c r="EY1074" s="1"/>
      <c r="EZ1074" s="1"/>
      <c r="FA1074" s="1"/>
      <c r="FB1074" s="1"/>
      <c r="FC1074" s="1"/>
      <c r="FD1074" s="1"/>
      <c r="FE1074" s="1"/>
      <c r="FF1074" s="1"/>
      <c r="FG1074" s="1"/>
      <c r="FH1074" s="1"/>
      <c r="FI1074" s="1"/>
      <c r="FJ1074" s="1"/>
      <c r="FK1074" s="1"/>
      <c r="FL1074" s="1"/>
      <c r="FM1074" s="1"/>
      <c r="FN1074" s="1"/>
      <c r="FO1074" s="1"/>
      <c r="FP1074" s="1"/>
      <c r="FQ1074" s="1"/>
      <c r="FR1074" s="1"/>
      <c r="FS1074" s="1"/>
      <c r="FT1074" s="1"/>
      <c r="FU1074" s="1"/>
      <c r="FV1074" s="1"/>
      <c r="FW1074" s="1"/>
      <c r="FX1074" s="1"/>
      <c r="FY1074" s="1"/>
      <c r="FZ1074" s="1"/>
      <c r="GA1074" s="1"/>
      <c r="GB1074" s="1"/>
      <c r="GC1074" s="1"/>
      <c r="GD1074" s="1"/>
      <c r="GE1074" s="1"/>
      <c r="GF1074" s="1"/>
      <c r="GG1074" s="1"/>
      <c r="GH1074" s="1"/>
      <c r="GI1074" s="1"/>
      <c r="GJ1074" s="1"/>
      <c r="GK1074" s="1"/>
      <c r="GL1074" s="1"/>
      <c r="GM1074" s="1"/>
      <c r="GN1074" s="1"/>
      <c r="GO1074" s="1"/>
      <c r="GP1074" s="1"/>
      <c r="GQ1074" s="1"/>
      <c r="GR1074" s="1"/>
      <c r="GS1074" s="1"/>
      <c r="GT1074" s="1"/>
      <c r="GU1074" s="1"/>
      <c r="GV1074" s="1"/>
      <c r="GW1074" s="1"/>
      <c r="GX1074" s="1"/>
      <c r="GY1074" s="1"/>
      <c r="GZ1074" s="1"/>
      <c r="HA1074" s="1"/>
      <c r="HB1074" s="1"/>
      <c r="HC1074" s="1"/>
      <c r="HD1074" s="1"/>
      <c r="HE1074" s="1"/>
      <c r="HF1074" s="1"/>
      <c r="HG1074" s="1"/>
      <c r="HH1074" s="1"/>
      <c r="HI1074" s="1"/>
      <c r="HJ1074" s="1"/>
      <c r="HK1074" s="1"/>
      <c r="HL1074" s="1"/>
      <c r="HM1074" s="1"/>
      <c r="HN1074" s="1"/>
      <c r="HO1074" s="1"/>
      <c r="HP1074" s="1"/>
      <c r="HQ1074" s="1"/>
      <c r="HR1074" s="1"/>
      <c r="HS1074" s="1"/>
      <c r="HT1074" s="1"/>
      <c r="HU1074" s="1"/>
      <c r="HV1074" s="1"/>
      <c r="HW1074" s="1"/>
      <c r="HX1074" s="1"/>
      <c r="HY1074" s="1"/>
      <c r="HZ1074" s="1"/>
      <c r="IA1074" s="1"/>
      <c r="IB1074" s="1"/>
      <c r="IC1074" s="1"/>
      <c r="ID1074" s="1"/>
      <c r="IE1074" s="1"/>
      <c r="IF1074" s="1"/>
      <c r="IG1074" s="1"/>
      <c r="IH1074" s="1"/>
      <c r="II1074" s="1"/>
      <c r="IJ1074" s="1"/>
      <c r="IK1074" s="1"/>
      <c r="IL1074" s="1"/>
      <c r="IM1074" s="1"/>
      <c r="IN1074" s="1"/>
      <c r="IO1074" s="1"/>
      <c r="IP1074" s="1"/>
      <c r="IQ1074" s="1"/>
      <c r="IR1074" s="1"/>
      <c r="IS1074" s="1"/>
      <c r="IT1074" s="1"/>
      <c r="IU1074" s="1"/>
      <c r="IV1074" s="1"/>
      <c r="IW1074" s="1"/>
      <c r="IX1074" s="1"/>
      <c r="IY1074" s="1"/>
      <c r="IZ1074" s="1"/>
      <c r="JA1074" s="1"/>
      <c r="JB1074" s="1"/>
      <c r="JC1074" s="1"/>
      <c r="JD1074" s="1"/>
      <c r="JE1074" s="1"/>
      <c r="JF1074" s="1"/>
      <c r="JG1074" s="1"/>
      <c r="JH1074" s="1"/>
      <c r="JI1074" s="1"/>
      <c r="JJ1074" s="1"/>
      <c r="JK1074" s="1"/>
      <c r="JL1074" s="1"/>
      <c r="JM1074" s="1"/>
      <c r="JN1074" s="1"/>
      <c r="JO1074" s="1"/>
      <c r="JP1074" s="1"/>
      <c r="JQ1074" s="1"/>
      <c r="JR1074" s="1"/>
      <c r="JS1074" s="1"/>
      <c r="JT1074" s="1"/>
      <c r="JU1074" s="1"/>
      <c r="JV1074" s="1"/>
    </row>
    <row r="1075" spans="1:282" x14ac:dyDescent="0.2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  <c r="BR1075" s="1"/>
      <c r="BS1075" s="1"/>
      <c r="BT1075" s="1"/>
      <c r="BU1075" s="1"/>
      <c r="BV1075" s="1"/>
      <c r="BW1075" s="1"/>
      <c r="BX1075" s="1"/>
      <c r="BY1075" s="1"/>
      <c r="BZ1075" s="1"/>
      <c r="CA1075" s="1"/>
      <c r="CB1075" s="1"/>
      <c r="CC1075" s="1"/>
      <c r="CD1075" s="1"/>
      <c r="CE1075" s="1"/>
      <c r="CF1075" s="1"/>
      <c r="CG1075" s="1"/>
      <c r="CH1075" s="1"/>
      <c r="CI1075" s="1"/>
      <c r="CJ1075" s="1"/>
      <c r="CK1075" s="1"/>
      <c r="CL1075" s="1"/>
      <c r="CM1075" s="1"/>
      <c r="CN1075" s="1"/>
      <c r="CO1075" s="1"/>
      <c r="CP1075" s="1"/>
      <c r="CQ1075" s="1"/>
      <c r="CR1075" s="1"/>
      <c r="CS1075" s="1"/>
      <c r="CT1075" s="1"/>
      <c r="CU1075" s="1"/>
      <c r="CV1075" s="1"/>
      <c r="CW1075" s="1"/>
      <c r="CX1075" s="1"/>
      <c r="CY1075" s="1"/>
      <c r="CZ1075" s="1"/>
      <c r="DA1075" s="1"/>
      <c r="DB1075" s="1"/>
      <c r="DC1075" s="1"/>
      <c r="DD1075" s="1"/>
      <c r="DE1075" s="1"/>
      <c r="DF1075" s="1"/>
      <c r="DG1075" s="1"/>
      <c r="DH1075" s="1"/>
      <c r="DI1075" s="1"/>
      <c r="DJ1075" s="1"/>
      <c r="DK1075" s="1"/>
      <c r="DL1075" s="1"/>
      <c r="DM1075" s="1"/>
      <c r="DN1075" s="1"/>
      <c r="DO1075" s="1"/>
      <c r="DP1075" s="1"/>
      <c r="DQ1075" s="1"/>
      <c r="DR1075" s="1"/>
      <c r="DS1075" s="1"/>
      <c r="DT1075" s="1"/>
      <c r="DU1075" s="1"/>
      <c r="DV1075" s="1"/>
      <c r="DW1075" s="1"/>
      <c r="DX1075" s="1"/>
      <c r="DY1075" s="1"/>
      <c r="DZ1075" s="1"/>
      <c r="EA1075" s="1"/>
      <c r="EB1075" s="1"/>
      <c r="EC1075" s="1"/>
      <c r="ED1075" s="1"/>
      <c r="EE1075" s="1"/>
      <c r="EF1075" s="1"/>
      <c r="EG1075" s="1"/>
      <c r="EH1075" s="1"/>
      <c r="EI1075" s="1"/>
      <c r="EJ1075" s="1"/>
      <c r="EK1075" s="1"/>
      <c r="EL1075" s="1"/>
      <c r="EM1075" s="1"/>
      <c r="EN1075" s="1"/>
      <c r="EO1075" s="1"/>
      <c r="EP1075" s="1"/>
      <c r="EQ1075" s="1"/>
      <c r="ER1075" s="1"/>
      <c r="ES1075" s="1"/>
      <c r="ET1075" s="1"/>
      <c r="EU1075" s="1"/>
      <c r="EV1075" s="1"/>
      <c r="EW1075" s="1"/>
      <c r="EX1075" s="1"/>
      <c r="EY1075" s="1"/>
      <c r="EZ1075" s="1"/>
      <c r="FA1075" s="1"/>
      <c r="FB1075" s="1"/>
      <c r="FC1075" s="1"/>
      <c r="FD1075" s="1"/>
      <c r="FE1075" s="1"/>
      <c r="FF1075" s="1"/>
      <c r="FG1075" s="1"/>
      <c r="FH1075" s="1"/>
      <c r="FI1075" s="1"/>
      <c r="FJ1075" s="1"/>
      <c r="FK1075" s="1"/>
      <c r="FL1075" s="1"/>
      <c r="FM1075" s="1"/>
      <c r="FN1075" s="1"/>
      <c r="FO1075" s="1"/>
      <c r="FP1075" s="1"/>
      <c r="FQ1075" s="1"/>
      <c r="FR1075" s="1"/>
      <c r="FS1075" s="1"/>
      <c r="FT1075" s="1"/>
      <c r="FU1075" s="1"/>
      <c r="FV1075" s="1"/>
      <c r="FW1075" s="1"/>
      <c r="FX1075" s="1"/>
      <c r="FY1075" s="1"/>
      <c r="FZ1075" s="1"/>
      <c r="GA1075" s="1"/>
      <c r="GB1075" s="1"/>
      <c r="GC1075" s="1"/>
      <c r="GD1075" s="1"/>
      <c r="GE1075" s="1"/>
      <c r="GF1075" s="1"/>
      <c r="GG1075" s="1"/>
      <c r="GH1075" s="1"/>
      <c r="GI1075" s="1"/>
      <c r="GJ1075" s="1"/>
      <c r="GK1075" s="1"/>
      <c r="GL1075" s="1"/>
      <c r="GM1075" s="1"/>
      <c r="GN1075" s="1"/>
      <c r="GO1075" s="1"/>
      <c r="GP1075" s="1"/>
      <c r="GQ1075" s="1"/>
      <c r="GR1075" s="1"/>
      <c r="GS1075" s="1"/>
      <c r="GT1075" s="1"/>
      <c r="GU1075" s="1"/>
      <c r="GV1075" s="1"/>
      <c r="GW1075" s="1"/>
      <c r="GX1075" s="1"/>
      <c r="GY1075" s="1"/>
      <c r="GZ1075" s="1"/>
      <c r="HA1075" s="1"/>
      <c r="HB1075" s="1"/>
      <c r="HC1075" s="1"/>
      <c r="HD1075" s="1"/>
      <c r="HE1075" s="1"/>
      <c r="HF1075" s="1"/>
      <c r="HG1075" s="1"/>
      <c r="HH1075" s="1"/>
      <c r="HI1075" s="1"/>
      <c r="HJ1075" s="1"/>
      <c r="HK1075" s="1"/>
      <c r="HL1075" s="1"/>
      <c r="HM1075" s="1"/>
      <c r="HN1075" s="1"/>
      <c r="HO1075" s="1"/>
      <c r="HP1075" s="1"/>
      <c r="HQ1075" s="1"/>
      <c r="HR1075" s="1"/>
      <c r="HS1075" s="1"/>
      <c r="HT1075" s="1"/>
      <c r="HU1075" s="1"/>
      <c r="HV1075" s="1"/>
      <c r="HW1075" s="1"/>
      <c r="HX1075" s="1"/>
      <c r="HY1075" s="1"/>
      <c r="HZ1075" s="1"/>
      <c r="IA1075" s="1"/>
      <c r="IB1075" s="1"/>
      <c r="IC1075" s="1"/>
      <c r="ID1075" s="1"/>
      <c r="IE1075" s="1"/>
      <c r="IF1075" s="1"/>
      <c r="IG1075" s="1"/>
      <c r="IH1075" s="1"/>
      <c r="II1075" s="1"/>
      <c r="IJ1075" s="1"/>
      <c r="IK1075" s="1"/>
      <c r="IL1075" s="1"/>
      <c r="IM1075" s="1"/>
      <c r="IN1075" s="1"/>
      <c r="IO1075" s="1"/>
      <c r="IP1075" s="1"/>
      <c r="IQ1075" s="1"/>
      <c r="IR1075" s="1"/>
      <c r="IS1075" s="1"/>
      <c r="IT1075" s="1"/>
      <c r="IU1075" s="1"/>
      <c r="IV1075" s="1"/>
      <c r="IW1075" s="1"/>
      <c r="IX1075" s="1"/>
      <c r="IY1075" s="1"/>
      <c r="IZ1075" s="1"/>
      <c r="JA1075" s="1"/>
      <c r="JB1075" s="1"/>
      <c r="JC1075" s="1"/>
      <c r="JD1075" s="1"/>
      <c r="JE1075" s="1"/>
      <c r="JF1075" s="1"/>
      <c r="JG1075" s="1"/>
      <c r="JH1075" s="1"/>
      <c r="JI1075" s="1"/>
      <c r="JJ1075" s="1"/>
      <c r="JK1075" s="1"/>
      <c r="JL1075" s="1"/>
      <c r="JM1075" s="1"/>
      <c r="JN1075" s="1"/>
      <c r="JO1075" s="1"/>
      <c r="JP1075" s="1"/>
      <c r="JQ1075" s="1"/>
      <c r="JR1075" s="1"/>
      <c r="JS1075" s="1"/>
      <c r="JT1075" s="1"/>
      <c r="JU1075" s="1"/>
      <c r="JV1075" s="1"/>
    </row>
    <row r="1076" spans="1:282" x14ac:dyDescent="0.25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  <c r="BR1076" s="1"/>
      <c r="BS1076" s="1"/>
      <c r="BT1076" s="1"/>
      <c r="BU1076" s="1"/>
      <c r="BV1076" s="1"/>
      <c r="BW1076" s="1"/>
      <c r="BX1076" s="1"/>
      <c r="BY1076" s="1"/>
      <c r="BZ1076" s="1"/>
      <c r="CA1076" s="1"/>
      <c r="CB1076" s="1"/>
      <c r="CC1076" s="1"/>
      <c r="CD1076" s="1"/>
      <c r="CE1076" s="1"/>
      <c r="CF1076" s="1"/>
      <c r="CG1076" s="1"/>
      <c r="CH1076" s="1"/>
      <c r="CI1076" s="1"/>
      <c r="CJ1076" s="1"/>
      <c r="CK1076" s="1"/>
      <c r="CL1076" s="1"/>
      <c r="CM1076" s="1"/>
      <c r="CN1076" s="1"/>
      <c r="CO1076" s="1"/>
      <c r="CP1076" s="1"/>
      <c r="CQ1076" s="1"/>
      <c r="CR1076" s="1"/>
      <c r="CS1076" s="1"/>
      <c r="CT1076" s="1"/>
      <c r="CU1076" s="1"/>
      <c r="CV1076" s="1"/>
      <c r="CW1076" s="1"/>
      <c r="CX1076" s="1"/>
      <c r="CY1076" s="1"/>
      <c r="CZ1076" s="1"/>
      <c r="DA1076" s="1"/>
      <c r="DB1076" s="1"/>
      <c r="DC1076" s="1"/>
      <c r="DD1076" s="1"/>
      <c r="DE1076" s="1"/>
      <c r="DF1076" s="1"/>
      <c r="DG1076" s="1"/>
      <c r="DH1076" s="1"/>
      <c r="DI1076" s="1"/>
      <c r="DJ1076" s="1"/>
      <c r="DK1076" s="1"/>
      <c r="DL1076" s="1"/>
      <c r="DM1076" s="1"/>
      <c r="DN1076" s="1"/>
      <c r="DO1076" s="1"/>
      <c r="DP1076" s="1"/>
      <c r="DQ1076" s="1"/>
      <c r="DR1076" s="1"/>
      <c r="DS1076" s="1"/>
      <c r="DT1076" s="1"/>
      <c r="DU1076" s="1"/>
      <c r="DV1076" s="1"/>
      <c r="DW1076" s="1"/>
      <c r="DX1076" s="1"/>
      <c r="DY1076" s="1"/>
      <c r="DZ1076" s="1"/>
      <c r="EA1076" s="1"/>
      <c r="EB1076" s="1"/>
      <c r="EC1076" s="1"/>
      <c r="ED1076" s="1"/>
      <c r="EE1076" s="1"/>
      <c r="EF1076" s="1"/>
      <c r="EG1076" s="1"/>
      <c r="EH1076" s="1"/>
      <c r="EI1076" s="1"/>
      <c r="EJ1076" s="1"/>
      <c r="EK1076" s="1"/>
      <c r="EL1076" s="1"/>
      <c r="EM1076" s="1"/>
      <c r="EN1076" s="1"/>
      <c r="EO1076" s="1"/>
      <c r="EP1076" s="1"/>
      <c r="EQ1076" s="1"/>
      <c r="ER1076" s="1"/>
      <c r="ES1076" s="1"/>
      <c r="ET1076" s="1"/>
      <c r="EU1076" s="1"/>
      <c r="EV1076" s="1"/>
      <c r="EW1076" s="1"/>
      <c r="EX1076" s="1"/>
      <c r="EY1076" s="1"/>
      <c r="EZ1076" s="1"/>
      <c r="FA1076" s="1"/>
      <c r="FB1076" s="1"/>
      <c r="FC1076" s="1"/>
      <c r="FD1076" s="1"/>
      <c r="FE1076" s="1"/>
      <c r="FF1076" s="1"/>
      <c r="FG1076" s="1"/>
      <c r="FH1076" s="1"/>
      <c r="FI1076" s="1"/>
      <c r="FJ1076" s="1"/>
      <c r="FK1076" s="1"/>
      <c r="FL1076" s="1"/>
      <c r="FM1076" s="1"/>
      <c r="FN1076" s="1"/>
      <c r="FO1076" s="1"/>
      <c r="FP1076" s="1"/>
      <c r="FQ1076" s="1"/>
      <c r="FR1076" s="1"/>
      <c r="FS1076" s="1"/>
      <c r="FT1076" s="1"/>
      <c r="FU1076" s="1"/>
      <c r="FV1076" s="1"/>
      <c r="FW1076" s="1"/>
      <c r="FX1076" s="1"/>
      <c r="FY1076" s="1"/>
      <c r="FZ1076" s="1"/>
      <c r="GA1076" s="1"/>
      <c r="GB1076" s="1"/>
      <c r="GC1076" s="1"/>
      <c r="GD1076" s="1"/>
      <c r="GE1076" s="1"/>
      <c r="GF1076" s="1"/>
      <c r="GG1076" s="1"/>
      <c r="GH1076" s="1"/>
      <c r="GI1076" s="1"/>
      <c r="GJ1076" s="1"/>
      <c r="GK1076" s="1"/>
      <c r="GL1076" s="1"/>
      <c r="GM1076" s="1"/>
      <c r="GN1076" s="1"/>
      <c r="GO1076" s="1"/>
      <c r="GP1076" s="1"/>
      <c r="GQ1076" s="1"/>
      <c r="GR1076" s="1"/>
      <c r="GS1076" s="1"/>
      <c r="GT1076" s="1"/>
      <c r="GU1076" s="1"/>
      <c r="GV1076" s="1"/>
      <c r="GW1076" s="1"/>
      <c r="GX1076" s="1"/>
      <c r="GY1076" s="1"/>
      <c r="GZ1076" s="1"/>
      <c r="HA1076" s="1"/>
      <c r="HB1076" s="1"/>
      <c r="HC1076" s="1"/>
      <c r="HD1076" s="1"/>
      <c r="HE1076" s="1"/>
      <c r="HF1076" s="1"/>
      <c r="HG1076" s="1"/>
      <c r="HH1076" s="1"/>
      <c r="HI1076" s="1"/>
      <c r="HJ1076" s="1"/>
      <c r="HK1076" s="1"/>
      <c r="HL1076" s="1"/>
      <c r="HM1076" s="1"/>
      <c r="HN1076" s="1"/>
      <c r="HO1076" s="1"/>
      <c r="HP1076" s="1"/>
      <c r="HQ1076" s="1"/>
      <c r="HR1076" s="1"/>
      <c r="HS1076" s="1"/>
      <c r="HT1076" s="1"/>
      <c r="HU1076" s="1"/>
      <c r="HV1076" s="1"/>
      <c r="HW1076" s="1"/>
      <c r="HX1076" s="1"/>
      <c r="HY1076" s="1"/>
      <c r="HZ1076" s="1"/>
      <c r="IA1076" s="1"/>
      <c r="IB1076" s="1"/>
      <c r="IC1076" s="1"/>
      <c r="ID1076" s="1"/>
      <c r="IE1076" s="1"/>
      <c r="IF1076" s="1"/>
      <c r="IG1076" s="1"/>
      <c r="IH1076" s="1"/>
      <c r="II1076" s="1"/>
      <c r="IJ1076" s="1"/>
      <c r="IK1076" s="1"/>
      <c r="IL1076" s="1"/>
      <c r="IM1076" s="1"/>
      <c r="IN1076" s="1"/>
      <c r="IO1076" s="1"/>
      <c r="IP1076" s="1"/>
      <c r="IQ1076" s="1"/>
      <c r="IR1076" s="1"/>
      <c r="IS1076" s="1"/>
      <c r="IT1076" s="1"/>
      <c r="IU1076" s="1"/>
      <c r="IV1076" s="1"/>
      <c r="IW1076" s="1"/>
      <c r="IX1076" s="1"/>
      <c r="IY1076" s="1"/>
      <c r="IZ1076" s="1"/>
      <c r="JA1076" s="1"/>
      <c r="JB1076" s="1"/>
      <c r="JC1076" s="1"/>
      <c r="JD1076" s="1"/>
      <c r="JE1076" s="1"/>
      <c r="JF1076" s="1"/>
      <c r="JG1076" s="1"/>
      <c r="JH1076" s="1"/>
      <c r="JI1076" s="1"/>
      <c r="JJ1076" s="1"/>
      <c r="JK1076" s="1"/>
      <c r="JL1076" s="1"/>
      <c r="JM1076" s="1"/>
      <c r="JN1076" s="1"/>
      <c r="JO1076" s="1"/>
      <c r="JP1076" s="1"/>
      <c r="JQ1076" s="1"/>
      <c r="JR1076" s="1"/>
      <c r="JS1076" s="1"/>
      <c r="JT1076" s="1"/>
      <c r="JU1076" s="1"/>
      <c r="JV1076" s="1"/>
    </row>
    <row r="1077" spans="1:282" x14ac:dyDescent="0.25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  <c r="BR1077" s="1"/>
      <c r="BS1077" s="1"/>
      <c r="BT1077" s="1"/>
      <c r="BU1077" s="1"/>
      <c r="BV1077" s="1"/>
      <c r="BW1077" s="1"/>
      <c r="BX1077" s="1"/>
      <c r="BY1077" s="1"/>
      <c r="BZ1077" s="1"/>
      <c r="CA1077" s="1"/>
      <c r="CB1077" s="1"/>
      <c r="CC1077" s="1"/>
      <c r="CD1077" s="1"/>
      <c r="CE1077" s="1"/>
      <c r="CF1077" s="1"/>
      <c r="CG1077" s="1"/>
      <c r="CH1077" s="1"/>
      <c r="CI1077" s="1"/>
      <c r="CJ1077" s="1"/>
      <c r="CK1077" s="1"/>
      <c r="CL1077" s="1"/>
      <c r="CM1077" s="1"/>
      <c r="CN1077" s="1"/>
      <c r="CO1077" s="1"/>
      <c r="CP1077" s="1"/>
      <c r="CQ1077" s="1"/>
      <c r="CR1077" s="1"/>
      <c r="CS1077" s="1"/>
      <c r="CT1077" s="1"/>
      <c r="CU1077" s="1"/>
      <c r="CV1077" s="1"/>
      <c r="CW1077" s="1"/>
      <c r="CX1077" s="1"/>
      <c r="CY1077" s="1"/>
      <c r="CZ1077" s="1"/>
      <c r="DA1077" s="1"/>
      <c r="DB1077" s="1"/>
      <c r="DC1077" s="1"/>
      <c r="DD1077" s="1"/>
      <c r="DE1077" s="1"/>
      <c r="DF1077" s="1"/>
      <c r="DG1077" s="1"/>
      <c r="DH1077" s="1"/>
      <c r="DI1077" s="1"/>
      <c r="DJ1077" s="1"/>
      <c r="DK1077" s="1"/>
      <c r="DL1077" s="1"/>
      <c r="DM1077" s="1"/>
      <c r="DN1077" s="1"/>
      <c r="DO1077" s="1"/>
      <c r="DP1077" s="1"/>
      <c r="DQ1077" s="1"/>
      <c r="DR1077" s="1"/>
      <c r="DS1077" s="1"/>
      <c r="DT1077" s="1"/>
      <c r="DU1077" s="1"/>
      <c r="DV1077" s="1"/>
      <c r="DW1077" s="1"/>
      <c r="DX1077" s="1"/>
      <c r="DY1077" s="1"/>
      <c r="DZ1077" s="1"/>
      <c r="EA1077" s="1"/>
      <c r="EB1077" s="1"/>
      <c r="EC1077" s="1"/>
      <c r="ED1077" s="1"/>
      <c r="EE1077" s="1"/>
      <c r="EF1077" s="1"/>
      <c r="EG1077" s="1"/>
      <c r="EH1077" s="1"/>
      <c r="EI1077" s="1"/>
      <c r="EJ1077" s="1"/>
      <c r="EK1077" s="1"/>
      <c r="EL1077" s="1"/>
      <c r="EM1077" s="1"/>
      <c r="EN1077" s="1"/>
      <c r="EO1077" s="1"/>
      <c r="EP1077" s="1"/>
      <c r="EQ1077" s="1"/>
      <c r="ER1077" s="1"/>
      <c r="ES1077" s="1"/>
      <c r="ET1077" s="1"/>
      <c r="EU1077" s="1"/>
      <c r="EV1077" s="1"/>
      <c r="EW1077" s="1"/>
      <c r="EX1077" s="1"/>
      <c r="EY1077" s="1"/>
      <c r="EZ1077" s="1"/>
      <c r="FA1077" s="1"/>
      <c r="FB1077" s="1"/>
      <c r="FC1077" s="1"/>
      <c r="FD1077" s="1"/>
      <c r="FE1077" s="1"/>
      <c r="FF1077" s="1"/>
      <c r="FG1077" s="1"/>
      <c r="FH1077" s="1"/>
      <c r="FI1077" s="1"/>
      <c r="FJ1077" s="1"/>
      <c r="FK1077" s="1"/>
      <c r="FL1077" s="1"/>
      <c r="FM1077" s="1"/>
      <c r="FN1077" s="1"/>
      <c r="FO1077" s="1"/>
      <c r="FP1077" s="1"/>
      <c r="FQ1077" s="1"/>
      <c r="FR1077" s="1"/>
      <c r="FS1077" s="1"/>
      <c r="FT1077" s="1"/>
      <c r="FU1077" s="1"/>
      <c r="FV1077" s="1"/>
      <c r="FW1077" s="1"/>
      <c r="FX1077" s="1"/>
      <c r="FY1077" s="1"/>
      <c r="FZ1077" s="1"/>
      <c r="GA1077" s="1"/>
      <c r="GB1077" s="1"/>
      <c r="GC1077" s="1"/>
      <c r="GD1077" s="1"/>
      <c r="GE1077" s="1"/>
      <c r="GF1077" s="1"/>
      <c r="GG1077" s="1"/>
      <c r="GH1077" s="1"/>
      <c r="GI1077" s="1"/>
      <c r="GJ1077" s="1"/>
      <c r="GK1077" s="1"/>
      <c r="GL1077" s="1"/>
      <c r="GM1077" s="1"/>
      <c r="GN1077" s="1"/>
      <c r="GO1077" s="1"/>
      <c r="GP1077" s="1"/>
      <c r="GQ1077" s="1"/>
      <c r="GR1077" s="1"/>
      <c r="GS1077" s="1"/>
      <c r="GT1077" s="1"/>
      <c r="GU1077" s="1"/>
      <c r="GV1077" s="1"/>
      <c r="GW1077" s="1"/>
      <c r="GX1077" s="1"/>
      <c r="GY1077" s="1"/>
      <c r="GZ1077" s="1"/>
      <c r="HA1077" s="1"/>
      <c r="HB1077" s="1"/>
      <c r="HC1077" s="1"/>
      <c r="HD1077" s="1"/>
      <c r="HE1077" s="1"/>
      <c r="HF1077" s="1"/>
      <c r="HG1077" s="1"/>
      <c r="HH1077" s="1"/>
      <c r="HI1077" s="1"/>
      <c r="HJ1077" s="1"/>
      <c r="HK1077" s="1"/>
      <c r="HL1077" s="1"/>
      <c r="HM1077" s="1"/>
      <c r="HN1077" s="1"/>
      <c r="HO1077" s="1"/>
      <c r="HP1077" s="1"/>
      <c r="HQ1077" s="1"/>
      <c r="HR1077" s="1"/>
      <c r="HS1077" s="1"/>
      <c r="HT1077" s="1"/>
      <c r="HU1077" s="1"/>
      <c r="HV1077" s="1"/>
      <c r="HW1077" s="1"/>
      <c r="HX1077" s="1"/>
      <c r="HY1077" s="1"/>
      <c r="HZ1077" s="1"/>
      <c r="IA1077" s="1"/>
      <c r="IB1077" s="1"/>
      <c r="IC1077" s="1"/>
      <c r="ID1077" s="1"/>
      <c r="IE1077" s="1"/>
      <c r="IF1077" s="1"/>
      <c r="IG1077" s="1"/>
      <c r="IH1077" s="1"/>
      <c r="II1077" s="1"/>
      <c r="IJ1077" s="1"/>
      <c r="IK1077" s="1"/>
      <c r="IL1077" s="1"/>
      <c r="IM1077" s="1"/>
      <c r="IN1077" s="1"/>
      <c r="IO1077" s="1"/>
      <c r="IP1077" s="1"/>
      <c r="IQ1077" s="1"/>
      <c r="IR1077" s="1"/>
      <c r="IS1077" s="1"/>
      <c r="IT1077" s="1"/>
      <c r="IU1077" s="1"/>
      <c r="IV1077" s="1"/>
      <c r="IW1077" s="1"/>
      <c r="IX1077" s="1"/>
      <c r="IY1077" s="1"/>
      <c r="IZ1077" s="1"/>
      <c r="JA1077" s="1"/>
      <c r="JB1077" s="1"/>
      <c r="JC1077" s="1"/>
      <c r="JD1077" s="1"/>
      <c r="JE1077" s="1"/>
      <c r="JF1077" s="1"/>
      <c r="JG1077" s="1"/>
      <c r="JH1077" s="1"/>
      <c r="JI1077" s="1"/>
      <c r="JJ1077" s="1"/>
      <c r="JK1077" s="1"/>
      <c r="JL1077" s="1"/>
      <c r="JM1077" s="1"/>
      <c r="JN1077" s="1"/>
      <c r="JO1077" s="1"/>
      <c r="JP1077" s="1"/>
      <c r="JQ1077" s="1"/>
      <c r="JR1077" s="1"/>
      <c r="JS1077" s="1"/>
      <c r="JT1077" s="1"/>
      <c r="JU1077" s="1"/>
      <c r="JV1077" s="1"/>
    </row>
  </sheetData>
  <mergeCells count="1">
    <mergeCell ref="A1:H1"/>
  </mergeCells>
  <phoneticPr fontId="3" type="noConversion"/>
  <conditionalFormatting sqref="D9:D14 D17:D25">
    <cfRule type="containsText" dxfId="23" priority="42" operator="containsText" text="Complete">
      <formula>NOT(ISERROR(SEARCH("Complete",D9)))</formula>
    </cfRule>
    <cfRule type="containsText" dxfId="22" priority="43" operator="containsText" text="In Progress">
      <formula>NOT(ISERROR(SEARCH("In Progress",D9)))</formula>
    </cfRule>
    <cfRule type="containsText" dxfId="21" priority="44" operator="containsText" text="Not Started">
      <formula>NOT(ISERROR(SEARCH("Not Started",D9)))</formula>
    </cfRule>
  </conditionalFormatting>
  <conditionalFormatting sqref="D9:D14">
    <cfRule type="cellIs" dxfId="20" priority="5" operator="equal">
      <formula>"En Espera"</formula>
    </cfRule>
    <cfRule type="cellIs" dxfId="19" priority="6" operator="equal">
      <formula>"En Progreso"</formula>
    </cfRule>
    <cfRule type="cellIs" dxfId="18" priority="7" operator="equal">
      <formula>"No Iniciado"</formula>
    </cfRule>
    <cfRule type="cellIs" dxfId="17" priority="8" operator="equal">
      <formula>"Completo"</formula>
    </cfRule>
  </conditionalFormatting>
  <conditionalFormatting sqref="D15:D16">
    <cfRule type="containsText" dxfId="16" priority="13" stopIfTrue="1" operator="containsText" text="On Hold">
      <formula>NOT(ISERROR(SEARCH("On Hold",D15)))</formula>
    </cfRule>
    <cfRule type="containsText" dxfId="15" priority="14" operator="containsText" text="Complete">
      <formula>NOT(ISERROR(SEARCH("Complete",D15)))</formula>
    </cfRule>
    <cfRule type="containsText" dxfId="14" priority="15" operator="containsText" text="In Progress">
      <formula>NOT(ISERROR(SEARCH("In Progress",D15)))</formula>
    </cfRule>
    <cfRule type="containsText" dxfId="13" priority="16" operator="containsText" text="Not Started">
      <formula>NOT(ISERROR(SEARCH("Not Started",D15)))</formula>
    </cfRule>
  </conditionalFormatting>
  <conditionalFormatting sqref="D17:D25 D9:D14">
    <cfRule type="containsText" dxfId="12" priority="41" operator="containsText" text="On Hold">
      <formula>NOT(ISERROR(SEARCH("On Hold",D9)))</formula>
    </cfRule>
  </conditionalFormatting>
  <conditionalFormatting sqref="D17:D25">
    <cfRule type="cellIs" dxfId="11" priority="33" operator="equal">
      <formula>"En Espera"</formula>
    </cfRule>
    <cfRule type="cellIs" dxfId="10" priority="34" operator="equal">
      <formula>"En Progreso"</formula>
    </cfRule>
    <cfRule type="cellIs" dxfId="9" priority="35" operator="equal">
      <formula>"No Iniciado"</formula>
    </cfRule>
    <cfRule type="cellIs" dxfId="8" priority="36" operator="equal">
      <formula>"Completo"</formula>
    </cfRule>
  </conditionalFormatting>
  <conditionalFormatting sqref="K8:K12">
    <cfRule type="containsText" dxfId="7" priority="53" stopIfTrue="1" operator="containsText" text="On Hold">
      <formula>NOT(ISERROR(SEARCH("On Hold",K8)))</formula>
    </cfRule>
    <cfRule type="containsText" dxfId="6" priority="54" operator="containsText" text="Complete">
      <formula>NOT(ISERROR(SEARCH("Complete",K8)))</formula>
    </cfRule>
    <cfRule type="containsText" dxfId="5" priority="55" operator="containsText" text="In Progress">
      <formula>NOT(ISERROR(SEARCH("In Progress",K8)))</formula>
    </cfRule>
    <cfRule type="containsText" dxfId="4" priority="56" operator="containsText" text="Not Started">
      <formula>NOT(ISERROR(SEARCH("Not Started",K8)))</formula>
    </cfRule>
  </conditionalFormatting>
  <conditionalFormatting sqref="D8">
    <cfRule type="containsText" dxfId="3" priority="1" stopIfTrue="1" operator="containsText" text="On Hold">
      <formula>NOT(ISERROR(SEARCH("On Hold",D8)))</formula>
    </cfRule>
    <cfRule type="containsText" dxfId="2" priority="2" operator="containsText" text="Complete">
      <formula>NOT(ISERROR(SEARCH("Complete",D8)))</formula>
    </cfRule>
    <cfRule type="containsText" dxfId="1" priority="3" operator="containsText" text="In Progress">
      <formula>NOT(ISERROR(SEARCH("In Progress",D8)))</formula>
    </cfRule>
    <cfRule type="containsText" dxfId="0" priority="4" operator="containsText" text="Not Started">
      <formula>NOT(ISERROR(SEARCH("Not Started",D8)))</formula>
    </cfRule>
  </conditionalFormatting>
  <dataValidations disablePrompts="1" count="1">
    <dataValidation type="list" allowBlank="1" showInputMessage="1" showErrorMessage="1" sqref="D17:D25 D9:D14" xr:uid="{00000000-0002-0000-0000-000000000000}">
      <formula1>$K$8:$K$11</formula1>
    </dataValidation>
  </dataValidations>
  <pageMargins left="0.3" right="0.3" top="0.3" bottom="0.3" header="0" footer="0"/>
  <pageSetup scale="70" fitToHeight="0" orientation="landscape" horizontalDpi="4294967292" verticalDpi="4294967292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PROYECTO SOFTWARE ARDUINO CUBO </vt:lpstr>
      <vt:lpstr>'PROYECTO SOFTWARE ARDUINO CUBO '!Área_de_impresión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Ragazhinskaya</dc:creator>
  <cp:lastModifiedBy>JHON EMERSON  PEREZ RAMIREZ</cp:lastModifiedBy>
  <dcterms:created xsi:type="dcterms:W3CDTF">2015-02-24T20:54:23Z</dcterms:created>
  <dcterms:modified xsi:type="dcterms:W3CDTF">2026-02-22T04:31:18Z</dcterms:modified>
</cp:coreProperties>
</file>