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jonys\OneDrive\Documentos\Tareas\Gestion de proyectos\Proyecto\Documentacion\"/>
    </mc:Choice>
  </mc:AlternateContent>
  <xr:revisionPtr revIDLastSave="0" documentId="13_ncr:1_{79A63F65-398E-49B4-A11A-C163322A6D13}" xr6:coauthVersionLast="47" xr6:coauthVersionMax="47" xr10:uidLastSave="{00000000-0000-0000-0000-000000000000}"/>
  <bookViews>
    <workbookView xWindow="19095" yWindow="0" windowWidth="19410" windowHeight="20985" tabRatio="500" xr2:uid="{00000000-000D-0000-FFFF-FFFF00000000}"/>
  </bookViews>
  <sheets>
    <sheet name="PROYECTO SOFTWARE ARDUINO CUBO " sheetId="1" r:id="rId1"/>
  </sheets>
  <definedNames>
    <definedName name="_xlnm.Print_Area" localSheetId="0">'PROYECTO SOFTWARE ARDUINO CUBO '!$B$1:$I$53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47" i="1" l="1"/>
  <c r="H48" i="1"/>
  <c r="H49" i="1"/>
  <c r="H50" i="1"/>
  <c r="H51" i="1"/>
  <c r="H52" i="1"/>
  <c r="H46" i="1"/>
  <c r="H39" i="1"/>
  <c r="H40" i="1"/>
  <c r="H41" i="1"/>
  <c r="H42" i="1"/>
  <c r="H43" i="1"/>
  <c r="H44" i="1"/>
  <c r="H38" i="1"/>
  <c r="H36" i="1"/>
  <c r="H25" i="1"/>
  <c r="H26" i="1"/>
  <c r="H27" i="1"/>
  <c r="H28" i="1"/>
  <c r="H29" i="1"/>
  <c r="H30" i="1"/>
  <c r="H31" i="1"/>
  <c r="H32" i="1"/>
  <c r="H33" i="1"/>
  <c r="H34" i="1"/>
  <c r="H35" i="1"/>
  <c r="H24" i="1"/>
  <c r="H23" i="1"/>
  <c r="H45" i="1"/>
  <c r="H18" i="1"/>
  <c r="H19" i="1"/>
  <c r="H20" i="1"/>
  <c r="H21" i="1"/>
  <c r="H22" i="1"/>
  <c r="H17" i="1"/>
  <c r="H16" i="1" l="1"/>
  <c r="H37" i="1"/>
  <c r="H15" i="1"/>
  <c r="H14" i="1"/>
  <c r="H13" i="1"/>
  <c r="H12" i="1"/>
  <c r="H11" i="1"/>
  <c r="H10" i="1"/>
  <c r="H9" i="1"/>
  <c r="H8" i="1"/>
  <c r="H5" i="1" l="1"/>
</calcChain>
</file>

<file path=xl/sharedStrings.xml><?xml version="1.0" encoding="utf-8"?>
<sst xmlns="http://schemas.openxmlformats.org/spreadsheetml/2006/main" count="237" uniqueCount="146">
  <si>
    <t>3.2.1</t>
  </si>
  <si>
    <t>3.2.2</t>
  </si>
  <si>
    <t>Concepción e Inicio del Proyecto</t>
  </si>
  <si>
    <t>Definición y Planificación del Proyecto</t>
  </si>
  <si>
    <t>Lanzamiento y Ejecución del Proyecto</t>
  </si>
  <si>
    <t>Desempeño / Monitoreo del Proyecto</t>
  </si>
  <si>
    <t>Nombre de la tarea</t>
  </si>
  <si>
    <t>Estado</t>
  </si>
  <si>
    <t>Asignado a</t>
  </si>
  <si>
    <t>Fecha fin</t>
  </si>
  <si>
    <t>Duración (en días)</t>
  </si>
  <si>
    <t>Comentarios</t>
  </si>
  <si>
    <t>Título del Proyecto</t>
  </si>
  <si>
    <t>Gerente del Proyecto</t>
  </si>
  <si>
    <t>Fecha inicio</t>
  </si>
  <si>
    <t>Fecha Fin</t>
  </si>
  <si>
    <t>Duracion del proyecto</t>
  </si>
  <si>
    <t>en dias</t>
  </si>
  <si>
    <t>Completo</t>
  </si>
  <si>
    <t>En progreso</t>
  </si>
  <si>
    <t>No Iniciado</t>
  </si>
  <si>
    <t>En Espera</t>
  </si>
  <si>
    <t>Jhon Perez</t>
  </si>
  <si>
    <t>1.1.1</t>
  </si>
  <si>
    <t>1.1.2</t>
  </si>
  <si>
    <t>1.2.1</t>
  </si>
  <si>
    <t>2.1.1</t>
  </si>
  <si>
    <t>2.1.2</t>
  </si>
  <si>
    <t>3.1.1</t>
  </si>
  <si>
    <t>3.1.2</t>
  </si>
  <si>
    <t>4.1.1</t>
  </si>
  <si>
    <t>4.1.2</t>
  </si>
  <si>
    <t>PROYECTO SOFTWARE ARDUINO CUBO DE LEDS RGB</t>
  </si>
  <si>
    <t>JHON EMERSON PEREZ RAMIREZ</t>
  </si>
  <si>
    <t>Predecesor 1.1.1</t>
  </si>
  <si>
    <t>Predecesor 1.1.2</t>
  </si>
  <si>
    <t>Predecesor 1.2.1</t>
  </si>
  <si>
    <t>Predecesor 2.1.1</t>
  </si>
  <si>
    <t>Predecesor 2.1.2</t>
  </si>
  <si>
    <t>Predecesor 3.1.1</t>
  </si>
  <si>
    <t>Predecesor 3.1.2</t>
  </si>
  <si>
    <t>Predecesor 3.2.2</t>
  </si>
  <si>
    <t>Predecesor 3.2.1</t>
  </si>
  <si>
    <t>Predecesor 4.1.1</t>
  </si>
  <si>
    <t>Inicio del proyecto</t>
  </si>
  <si>
    <t>WBS</t>
  </si>
  <si>
    <t>1.1.3</t>
  </si>
  <si>
    <t>1.1.4</t>
  </si>
  <si>
    <t>Predecesor 1.1.3</t>
  </si>
  <si>
    <t>1.1.5</t>
  </si>
  <si>
    <t>1.1.6</t>
  </si>
  <si>
    <t>Predecesor 1.1.5</t>
  </si>
  <si>
    <t>Predecesor 1.1.6</t>
  </si>
  <si>
    <t>2.1.3</t>
  </si>
  <si>
    <t>2.1.4</t>
  </si>
  <si>
    <t>Predecesor 2.1.3</t>
  </si>
  <si>
    <t>2.1.5</t>
  </si>
  <si>
    <t>Predecesor 2.1.4</t>
  </si>
  <si>
    <t>2.2.1</t>
  </si>
  <si>
    <t>Predecesor 2.1.5</t>
  </si>
  <si>
    <t>No iniciado</t>
  </si>
  <si>
    <t>Predecesor 2.2.1</t>
  </si>
  <si>
    <t xml:space="preserve">   Predecesor 1.1.4</t>
  </si>
  <si>
    <t>4.1.3</t>
  </si>
  <si>
    <t>Predecesor 4.1.2</t>
  </si>
  <si>
    <t>4.1.4</t>
  </si>
  <si>
    <t>Predecesor 4.1.3</t>
  </si>
  <si>
    <t>Identificar interesados del proyecto</t>
  </si>
  <si>
    <t>Definir objetivo del proyecto</t>
  </si>
  <si>
    <t>Levantar requerimientos del sistema</t>
  </si>
  <si>
    <t>Establecer alcance del proyecto</t>
  </si>
  <si>
    <t>Identificar funcionalidades del software</t>
  </si>
  <si>
    <t>Definir limitaciones tecnicas</t>
  </si>
  <si>
    <t>Analizar memoria y pines del Arduino</t>
  </si>
  <si>
    <t>Elaborar EDT del proyecto</t>
  </si>
  <si>
    <t>Construir cronograma del proyecto</t>
  </si>
  <si>
    <t>Asignar responsables por tarea</t>
  </si>
  <si>
    <t>Estimar recursos necesarios</t>
  </si>
  <si>
    <t>Estimar costos y presupuesto</t>
  </si>
  <si>
    <t>Diseñar flujo general del programa</t>
  </si>
  <si>
    <t>Construir molde de LEDs</t>
  </si>
  <si>
    <t>Construir molde estructural</t>
  </si>
  <si>
    <t>Cortar tramos de alambre</t>
  </si>
  <si>
    <t>Conectar LEDs en serie</t>
  </si>
  <si>
    <t>3.2.3</t>
  </si>
  <si>
    <t>Conectar linea VCC</t>
  </si>
  <si>
    <t>3.2.4</t>
  </si>
  <si>
    <t>Conectar linea GND</t>
  </si>
  <si>
    <t>Predecesor 3.2.3</t>
  </si>
  <si>
    <t>3.2.5</t>
  </si>
  <si>
    <t>Probar fila de LEDs</t>
  </si>
  <si>
    <t>Predecesor 3.2.4</t>
  </si>
  <si>
    <t>3.3.1</t>
  </si>
  <si>
    <t>Construir todas las filas</t>
  </si>
  <si>
    <t>Predecesor 3.2.5</t>
  </si>
  <si>
    <t>3.4.1</t>
  </si>
  <si>
    <t>Instalar lineas VCC verticales</t>
  </si>
  <si>
    <t>Predecesor 3.3.1</t>
  </si>
  <si>
    <t>3.4.2</t>
  </si>
  <si>
    <t>Instalar lineas GND verticales</t>
  </si>
  <si>
    <t>Predecesor 3.4.1</t>
  </si>
  <si>
    <t>3.4.3</t>
  </si>
  <si>
    <t>Conectar datos entre filas</t>
  </si>
  <si>
    <t>Predecesor 3.4.2</t>
  </si>
  <si>
    <t>3.4.4</t>
  </si>
  <si>
    <t>Probar panel completo</t>
  </si>
  <si>
    <t>Predecesor 3.4.3</t>
  </si>
  <si>
    <t>3.5.1</t>
  </si>
  <si>
    <t>Recubrir LEDs</t>
  </si>
  <si>
    <t>Predecesor 3.4.4</t>
  </si>
  <si>
    <t>Desarrollo de Software</t>
  </si>
  <si>
    <t>Configurar entorno y librerias</t>
  </si>
  <si>
    <t>Predecesor 3.5.1</t>
  </si>
  <si>
    <t>Configurar comunicacion con LEDs</t>
  </si>
  <si>
    <t>Programar matriz 3D</t>
  </si>
  <si>
    <t>Programar secuencia de bits</t>
  </si>
  <si>
    <t>4.1.5</t>
  </si>
  <si>
    <t>Programar actualizacion del cubo</t>
  </si>
  <si>
    <t>Predecesor 4.1.4</t>
  </si>
  <si>
    <t>4.1.6</t>
  </si>
  <si>
    <t>Programar funciones base</t>
  </si>
  <si>
    <t>Predecesor 4.1.5</t>
  </si>
  <si>
    <t>4.1.7</t>
  </si>
  <si>
    <t>Programar figuras y animaciones</t>
  </si>
  <si>
    <t>Predecesor 4.1.6</t>
  </si>
  <si>
    <t>5.1.1</t>
  </si>
  <si>
    <t>Probar LED individual</t>
  </si>
  <si>
    <t>Predecesor 4.1.7</t>
  </si>
  <si>
    <t>5.1.2</t>
  </si>
  <si>
    <t>Probar direccionamiento completo</t>
  </si>
  <si>
    <t>Predecesor 5.1.1</t>
  </si>
  <si>
    <t>5.1.3</t>
  </si>
  <si>
    <t>Probar figuras y planos</t>
  </si>
  <si>
    <t>Predecesor 5.1.2</t>
  </si>
  <si>
    <t>5.1.4</t>
  </si>
  <si>
    <t>Probar animaciones</t>
  </si>
  <si>
    <t>Predecesor 5.1.3</t>
  </si>
  <si>
    <t>5.1.5</t>
  </si>
  <si>
    <t>Optimizar rendimiento</t>
  </si>
  <si>
    <t>Predecesor 5.1.4</t>
  </si>
  <si>
    <t>5.1.6</t>
  </si>
  <si>
    <t>Documentar codigo</t>
  </si>
  <si>
    <t>Predecesor 5.1.5</t>
  </si>
  <si>
    <t>5.1.7</t>
  </si>
  <si>
    <t>Elaborar informe final</t>
  </si>
  <si>
    <t>Predecesor 5.1.6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</si>
</sst>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17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sz val="10"/>
      <color theme="0"/>
      <name val="Century Gothic"/>
      <family val="1"/>
    </font>
    <font>
      <sz val="12"/>
      <color theme="0"/>
      <name val="Century Gothic"/>
      <family val="1"/>
    </font>
    <font>
      <sz val="12"/>
      <color theme="1"/>
      <name val="Century Gothic"/>
      <family val="1"/>
    </font>
    <font>
      <b/>
      <sz val="11"/>
      <color rgb="FF001033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0"/>
      <color theme="0"/>
      <name val="Century Gothic"/>
      <family val="2"/>
    </font>
    <font>
      <sz val="10"/>
      <name val="Century Gothic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rgb="FF001033"/>
      </top>
      <bottom style="thin">
        <color theme="0" tint="-0.24997711111789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75">
    <xf numFmtId="0" fontId="0" fillId="0" borderId="0" xfId="0"/>
    <xf numFmtId="0" fontId="4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 readingOrder="1"/>
    </xf>
    <xf numFmtId="164" fontId="5" fillId="2" borderId="1" xfId="0" applyNumberFormat="1" applyFont="1" applyFill="1" applyBorder="1" applyAlignment="1">
      <alignment horizontal="left" vertical="center" wrapText="1" indent="1" readingOrder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2"/>
    </xf>
    <xf numFmtId="0" fontId="8" fillId="0" borderId="2" xfId="0" applyFont="1" applyBorder="1" applyAlignment="1">
      <alignment horizontal="left" vertical="center" wrapText="1" indent="2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7" borderId="3" xfId="0" applyFont="1" applyFill="1" applyBorder="1" applyAlignment="1">
      <alignment horizontal="left" vertical="center" wrapText="1" indent="1"/>
    </xf>
    <xf numFmtId="0" fontId="9" fillId="8" borderId="3" xfId="0" applyFont="1" applyFill="1" applyBorder="1" applyAlignment="1">
      <alignment horizontal="left" vertical="center" wrapText="1" indent="1"/>
    </xf>
    <xf numFmtId="0" fontId="10" fillId="7" borderId="3" xfId="0" applyFont="1" applyFill="1" applyBorder="1" applyAlignment="1">
      <alignment horizontal="left" vertical="center" wrapText="1" indent="1"/>
    </xf>
    <xf numFmtId="0" fontId="10" fillId="8" borderId="3" xfId="0" applyFont="1" applyFill="1" applyBorder="1" applyAlignment="1">
      <alignment horizontal="left" vertical="center" wrapText="1" indent="1"/>
    </xf>
    <xf numFmtId="164" fontId="11" fillId="7" borderId="3" xfId="0" applyNumberFormat="1" applyFont="1" applyFill="1" applyBorder="1" applyAlignment="1">
      <alignment horizontal="left" vertical="center" wrapText="1" indent="1"/>
    </xf>
    <xf numFmtId="165" fontId="10" fillId="7" borderId="3" xfId="0" applyNumberFormat="1" applyFont="1" applyFill="1" applyBorder="1" applyAlignment="1">
      <alignment horizontal="left" vertical="center" wrapText="1" indent="1" readingOrder="1"/>
    </xf>
    <xf numFmtId="165" fontId="10" fillId="7" borderId="3" xfId="0" applyNumberFormat="1" applyFont="1" applyFill="1" applyBorder="1" applyAlignment="1">
      <alignment horizontal="left" vertical="center" wrapText="1" indent="1"/>
    </xf>
    <xf numFmtId="1" fontId="10" fillId="7" borderId="3" xfId="0" applyNumberFormat="1" applyFont="1" applyFill="1" applyBorder="1" applyAlignment="1">
      <alignment horizontal="left" vertical="center" wrapText="1" indent="1"/>
    </xf>
    <xf numFmtId="164" fontId="10" fillId="8" borderId="3" xfId="0" applyNumberFormat="1" applyFont="1" applyFill="1" applyBorder="1" applyAlignment="1">
      <alignment horizontal="left" vertical="center" wrapText="1" indent="1"/>
    </xf>
    <xf numFmtId="165" fontId="10" fillId="8" borderId="3" xfId="0" applyNumberFormat="1" applyFont="1" applyFill="1" applyBorder="1" applyAlignment="1">
      <alignment horizontal="left" vertical="center" wrapText="1" indent="1" readingOrder="1"/>
    </xf>
    <xf numFmtId="165" fontId="10" fillId="8" borderId="3" xfId="0" applyNumberFormat="1" applyFont="1" applyFill="1" applyBorder="1" applyAlignment="1">
      <alignment horizontal="left" vertical="center" wrapText="1" indent="1"/>
    </xf>
    <xf numFmtId="1" fontId="10" fillId="8" borderId="3" xfId="0" applyNumberFormat="1" applyFont="1" applyFill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  <xf numFmtId="0" fontId="4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wrapText="1"/>
    </xf>
    <xf numFmtId="0" fontId="10" fillId="5" borderId="3" xfId="0" applyFont="1" applyFill="1" applyBorder="1" applyAlignment="1">
      <alignment horizontal="left" vertical="center" wrapText="1" indent="1"/>
    </xf>
    <xf numFmtId="0" fontId="12" fillId="3" borderId="6" xfId="0" applyFont="1" applyFill="1" applyBorder="1" applyAlignment="1">
      <alignment horizontal="left" vertical="center" wrapText="1" indent="1"/>
    </xf>
    <xf numFmtId="0" fontId="6" fillId="5" borderId="3" xfId="0" applyFont="1" applyFill="1" applyBorder="1" applyAlignment="1">
      <alignment horizontal="left" vertical="center" wrapText="1" indent="1"/>
    </xf>
    <xf numFmtId="165" fontId="10" fillId="5" borderId="3" xfId="0" applyNumberFormat="1" applyFont="1" applyFill="1" applyBorder="1" applyAlignment="1">
      <alignment horizontal="left" vertical="center" wrapText="1" indent="1"/>
    </xf>
    <xf numFmtId="0" fontId="12" fillId="9" borderId="6" xfId="0" applyFont="1" applyFill="1" applyBorder="1" applyAlignment="1">
      <alignment horizontal="left" vertical="center" wrapText="1" indent="1"/>
    </xf>
    <xf numFmtId="0" fontId="12" fillId="9" borderId="4" xfId="0" applyFont="1" applyFill="1" applyBorder="1" applyAlignment="1">
      <alignment horizontal="left" vertical="center" wrapText="1" indent="1"/>
    </xf>
    <xf numFmtId="165" fontId="10" fillId="5" borderId="7" xfId="0" applyNumberFormat="1" applyFont="1" applyFill="1" applyBorder="1" applyAlignment="1">
      <alignment horizontal="left" vertical="center" wrapText="1" indent="1"/>
    </xf>
    <xf numFmtId="1" fontId="10" fillId="5" borderId="3" xfId="0" applyNumberFormat="1" applyFont="1" applyFill="1" applyBorder="1" applyAlignment="1">
      <alignment horizontal="left" vertical="center" wrapText="1" indent="1"/>
    </xf>
    <xf numFmtId="0" fontId="9" fillId="5" borderId="3" xfId="0" applyFont="1" applyFill="1" applyBorder="1" applyAlignment="1">
      <alignment horizontal="left" vertical="center" wrapText="1" indent="1"/>
    </xf>
    <xf numFmtId="165" fontId="5" fillId="0" borderId="1" xfId="0" applyNumberFormat="1" applyFont="1" applyBorder="1" applyAlignment="1">
      <alignment horizontal="left" vertical="center" wrapText="1" indent="1" readingOrder="1"/>
    </xf>
    <xf numFmtId="165" fontId="4" fillId="0" borderId="1" xfId="0" applyNumberFormat="1" applyFont="1" applyBorder="1" applyAlignment="1">
      <alignment horizontal="left" vertical="center" wrapText="1" indent="1"/>
    </xf>
    <xf numFmtId="165" fontId="5" fillId="0" borderId="2" xfId="0" applyNumberFormat="1" applyFont="1" applyBorder="1" applyAlignment="1">
      <alignment horizontal="left" vertical="center" wrapText="1" indent="1" readingOrder="1"/>
    </xf>
    <xf numFmtId="165" fontId="4" fillId="0" borderId="2" xfId="0" applyNumberFormat="1" applyFont="1" applyBorder="1" applyAlignment="1">
      <alignment horizontal="left" vertical="center" wrapText="1" indent="1"/>
    </xf>
    <xf numFmtId="1" fontId="4" fillId="10" borderId="1" xfId="0" applyNumberFormat="1" applyFont="1" applyFill="1" applyBorder="1" applyAlignment="1">
      <alignment horizontal="left" vertical="center" wrapText="1" indent="1"/>
    </xf>
    <xf numFmtId="1" fontId="4" fillId="11" borderId="1" xfId="0" applyNumberFormat="1" applyFont="1" applyFill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wrapText="1" indent="1"/>
    </xf>
    <xf numFmtId="165" fontId="4" fillId="0" borderId="4" xfId="0" applyNumberFormat="1" applyFont="1" applyBorder="1" applyAlignment="1">
      <alignment horizontal="left" vertical="center" wrapText="1" indent="1"/>
    </xf>
    <xf numFmtId="1" fontId="4" fillId="10" borderId="8" xfId="0" applyNumberFormat="1" applyFont="1" applyFill="1" applyBorder="1" applyAlignment="1">
      <alignment horizontal="left" vertical="center" wrapText="1" indent="1"/>
    </xf>
    <xf numFmtId="0" fontId="5" fillId="12" borderId="1" xfId="0" applyFont="1" applyFill="1" applyBorder="1" applyAlignment="1">
      <alignment horizontal="left" vertical="center" wrapText="1" indent="1" readingOrder="1"/>
    </xf>
    <xf numFmtId="0" fontId="4" fillId="4" borderId="3" xfId="0" applyFont="1" applyFill="1" applyBorder="1" applyAlignment="1">
      <alignment horizontal="left" vertical="center" wrapText="1" indent="1"/>
    </xf>
    <xf numFmtId="0" fontId="13" fillId="3" borderId="6" xfId="0" applyFont="1" applyFill="1" applyBorder="1" applyAlignment="1">
      <alignment horizontal="left" vertical="center" wrapText="1" indent="1"/>
    </xf>
    <xf numFmtId="0" fontId="10" fillId="5" borderId="0" xfId="0" applyFont="1" applyFill="1" applyAlignment="1">
      <alignment horizontal="left" vertical="center" indent="1"/>
    </xf>
    <xf numFmtId="0" fontId="5" fillId="13" borderId="1" xfId="0" applyFont="1" applyFill="1" applyBorder="1" applyAlignment="1">
      <alignment horizontal="left" vertical="center" wrapText="1" indent="1" readingOrder="1"/>
    </xf>
    <xf numFmtId="0" fontId="4" fillId="14" borderId="1" xfId="0" applyFont="1" applyFill="1" applyBorder="1" applyAlignment="1">
      <alignment horizontal="left" vertical="center" wrapText="1" indent="1"/>
    </xf>
    <xf numFmtId="1" fontId="4" fillId="2" borderId="0" xfId="0" applyNumberFormat="1" applyFont="1" applyFill="1" applyAlignment="1">
      <alignment wrapText="1"/>
    </xf>
    <xf numFmtId="165" fontId="4" fillId="2" borderId="0" xfId="0" applyNumberFormat="1" applyFont="1" applyFill="1" applyAlignment="1">
      <alignment horizontal="left" vertical="center" wrapText="1"/>
    </xf>
    <xf numFmtId="0" fontId="15" fillId="6" borderId="3" xfId="0" applyFont="1" applyFill="1" applyBorder="1" applyAlignment="1">
      <alignment horizontal="left" vertical="center" wrapText="1" indent="1"/>
    </xf>
    <xf numFmtId="0" fontId="16" fillId="6" borderId="3" xfId="0" applyFont="1" applyFill="1" applyBorder="1" applyAlignment="1">
      <alignment horizontal="left" vertical="center" wrapText="1" indent="1" readingOrder="1"/>
    </xf>
    <xf numFmtId="164" fontId="15" fillId="6" borderId="3" xfId="0" applyNumberFormat="1" applyFont="1" applyFill="1" applyBorder="1" applyAlignment="1">
      <alignment horizontal="left" vertical="center" wrapText="1" indent="1"/>
    </xf>
    <xf numFmtId="165" fontId="15" fillId="6" borderId="3" xfId="0" applyNumberFormat="1" applyFont="1" applyFill="1" applyBorder="1" applyAlignment="1">
      <alignment horizontal="left" vertical="center" wrapText="1" indent="1" readingOrder="1"/>
    </xf>
    <xf numFmtId="165" fontId="15" fillId="6" borderId="3" xfId="0" applyNumberFormat="1" applyFont="1" applyFill="1" applyBorder="1" applyAlignment="1">
      <alignment horizontal="left" vertical="center" wrapText="1" indent="1"/>
    </xf>
    <xf numFmtId="1" fontId="15" fillId="6" borderId="3" xfId="0" applyNumberFormat="1" applyFont="1" applyFill="1" applyBorder="1" applyAlignment="1">
      <alignment horizontal="left" vertical="center" wrapText="1" indent="1"/>
    </xf>
    <xf numFmtId="0" fontId="5" fillId="7" borderId="3" xfId="0" applyFont="1" applyFill="1" applyBorder="1" applyAlignment="1">
      <alignment horizontal="left" vertical="center" wrapText="1" indent="1" readingOrder="1"/>
    </xf>
    <xf numFmtId="0" fontId="9" fillId="8" borderId="3" xfId="0" applyFont="1" applyFill="1" applyBorder="1" applyAlignment="1">
      <alignment horizontal="left" vertical="center" wrapText="1" indent="1" readingOrder="1"/>
    </xf>
    <xf numFmtId="1" fontId="4" fillId="15" borderId="1" xfId="0" applyNumberFormat="1" applyFont="1" applyFill="1" applyBorder="1" applyAlignment="1">
      <alignment horizontal="left" vertical="center" wrapText="1" indent="1"/>
    </xf>
    <xf numFmtId="0" fontId="14" fillId="2" borderId="0" xfId="0" applyFont="1" applyFill="1" applyAlignment="1">
      <alignment horizontal="center" vertical="center"/>
    </xf>
    <xf numFmtId="0" fontId="10" fillId="16" borderId="3" xfId="0" applyFont="1" applyFill="1" applyBorder="1" applyAlignment="1">
      <alignment horizontal="left" vertical="center" wrapText="1" indent="1"/>
    </xf>
    <xf numFmtId="0" fontId="5" fillId="16" borderId="3" xfId="0" applyFont="1" applyFill="1" applyBorder="1" applyAlignment="1">
      <alignment horizontal="left" vertical="center" wrapText="1" indent="1" readingOrder="1"/>
    </xf>
    <xf numFmtId="164" fontId="11" fillId="16" borderId="3" xfId="0" applyNumberFormat="1" applyFont="1" applyFill="1" applyBorder="1" applyAlignment="1">
      <alignment horizontal="left" vertical="center" wrapText="1" indent="1"/>
    </xf>
    <xf numFmtId="165" fontId="10" fillId="16" borderId="3" xfId="0" applyNumberFormat="1" applyFont="1" applyFill="1" applyBorder="1" applyAlignment="1">
      <alignment horizontal="left" vertical="center" wrapText="1" indent="1" readingOrder="1"/>
    </xf>
    <xf numFmtId="165" fontId="10" fillId="16" borderId="3" xfId="0" applyNumberFormat="1" applyFont="1" applyFill="1" applyBorder="1" applyAlignment="1">
      <alignment horizontal="left" vertical="center" wrapText="1" indent="1"/>
    </xf>
    <xf numFmtId="1" fontId="10" fillId="16" borderId="3" xfId="0" applyNumberFormat="1" applyFont="1" applyFill="1" applyBorder="1" applyAlignment="1">
      <alignment horizontal="left" vertical="center" wrapText="1" indent="1"/>
    </xf>
    <xf numFmtId="0" fontId="4" fillId="16" borderId="3" xfId="0" applyFont="1" applyFill="1" applyBorder="1" applyAlignment="1">
      <alignment horizontal="left" vertical="center" wrapText="1" indent="1"/>
    </xf>
    <xf numFmtId="1" fontId="4" fillId="17" borderId="1" xfId="0" applyNumberFormat="1" applyFont="1" applyFill="1" applyBorder="1" applyAlignment="1">
      <alignment horizontal="left" vertical="center" wrapText="1" indent="1"/>
    </xf>
    <xf numFmtId="1" fontId="4" fillId="14" borderId="1" xfId="0" applyNumberFormat="1" applyFont="1" applyFill="1" applyBorder="1" applyAlignment="1">
      <alignment horizontal="left" vertical="center" wrapText="1" inden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20"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7134"/>
      <color rgb="FF001033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2800" b="1"/>
              <a:t>SOFTWARE</a:t>
            </a:r>
            <a:r>
              <a:rPr lang="es-CO" sz="2800" b="1" baseline="0"/>
              <a:t> DEL CUBO DE LEDS</a:t>
            </a:r>
            <a:endParaRPr lang="es-CO" sz="2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2487722001923616"/>
          <c:y val="0.16772351681648903"/>
          <c:w val="0.74172602667610898"/>
          <c:h val="0.8173104951856548"/>
        </c:manualLayout>
      </c:layout>
      <c:barChart>
        <c:barDir val="bar"/>
        <c:grouping val="stacked"/>
        <c:varyColors val="0"/>
        <c:ser>
          <c:idx val="0"/>
          <c:order val="0"/>
          <c:tx>
            <c:v>Fecha Inicio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'PROYECTO SOFTWARE ARDUINO CUBO '!$C$8:$C$52</c:f>
              <c:strCache>
                <c:ptCount val="45"/>
                <c:pt idx="0">
                  <c:v>Concepción e Inicio del Proyecto</c:v>
                </c:pt>
                <c:pt idx="1">
                  <c:v>Identificar interesados del proyecto</c:v>
                </c:pt>
                <c:pt idx="2">
                  <c:v>Definir objetivo del proyecto</c:v>
                </c:pt>
                <c:pt idx="3">
                  <c:v>Levantar requerimientos del sistema</c:v>
                </c:pt>
                <c:pt idx="4">
                  <c:v>Establecer alcance del proyecto</c:v>
                </c:pt>
                <c:pt idx="5">
                  <c:v>Identificar funcionalidades del software</c:v>
                </c:pt>
                <c:pt idx="6">
                  <c:v>Definir limitaciones tecnicas</c:v>
                </c:pt>
                <c:pt idx="7">
                  <c:v>Analizar memoria y pines del Arduino</c:v>
                </c:pt>
                <c:pt idx="8">
                  <c:v>Definición y Planificación del Proyecto</c:v>
                </c:pt>
                <c:pt idx="9">
                  <c:v>Elaborar EDT del proyecto</c:v>
                </c:pt>
                <c:pt idx="10">
                  <c:v>Construir cronograma del proyecto</c:v>
                </c:pt>
                <c:pt idx="11">
                  <c:v>Asignar responsables por tarea</c:v>
                </c:pt>
                <c:pt idx="12">
                  <c:v>Estimar recursos necesarios</c:v>
                </c:pt>
                <c:pt idx="13">
                  <c:v>Estimar costos y presupuesto</c:v>
                </c:pt>
                <c:pt idx="14">
                  <c:v>Diseñar flujo general del programa</c:v>
                </c:pt>
                <c:pt idx="15">
                  <c:v>Lanzamiento y Ejecución del Proyecto</c:v>
                </c:pt>
                <c:pt idx="16">
                  <c:v>Construir molde de LEDs</c:v>
                </c:pt>
                <c:pt idx="17">
                  <c:v>Construir molde estructural</c:v>
                </c:pt>
                <c:pt idx="18">
                  <c:v>Cortar tramos de alambre</c:v>
                </c:pt>
                <c:pt idx="19">
                  <c:v>Conectar LEDs en serie</c:v>
                </c:pt>
                <c:pt idx="20">
                  <c:v>Conectar linea VCC</c:v>
                </c:pt>
                <c:pt idx="21">
                  <c:v>Conectar linea GND</c:v>
                </c:pt>
                <c:pt idx="22">
                  <c:v>Probar fila de LEDs</c:v>
                </c:pt>
                <c:pt idx="23">
                  <c:v>Construir todas las filas</c:v>
                </c:pt>
                <c:pt idx="24">
                  <c:v>Instalar lineas VCC verticales</c:v>
                </c:pt>
                <c:pt idx="25">
                  <c:v>Instalar lineas GND verticales</c:v>
                </c:pt>
                <c:pt idx="26">
                  <c:v>Conectar datos entre filas</c:v>
                </c:pt>
                <c:pt idx="27">
                  <c:v>Probar panel completo</c:v>
                </c:pt>
                <c:pt idx="28">
                  <c:v>Recubrir LEDs</c:v>
                </c:pt>
                <c:pt idx="29">
                  <c:v>Desarrollo de Software</c:v>
                </c:pt>
                <c:pt idx="30">
                  <c:v>Configurar entorno y librerias</c:v>
                </c:pt>
                <c:pt idx="31">
                  <c:v>Configurar comunicacion con LEDs</c:v>
                </c:pt>
                <c:pt idx="32">
                  <c:v>Programar matriz 3D</c:v>
                </c:pt>
                <c:pt idx="33">
                  <c:v>Programar secuencia de bits</c:v>
                </c:pt>
                <c:pt idx="34">
                  <c:v>Programar actualizacion del cubo</c:v>
                </c:pt>
                <c:pt idx="35">
                  <c:v>Programar funciones base</c:v>
                </c:pt>
                <c:pt idx="36">
                  <c:v>Programar figuras y animaciones</c:v>
                </c:pt>
                <c:pt idx="37">
                  <c:v>Desempeño / Monitoreo del Proyecto</c:v>
                </c:pt>
                <c:pt idx="38">
                  <c:v>Probar LED individual</c:v>
                </c:pt>
                <c:pt idx="39">
                  <c:v>Probar direccionamiento completo</c:v>
                </c:pt>
                <c:pt idx="40">
                  <c:v>Probar figuras y planos</c:v>
                </c:pt>
                <c:pt idx="41">
                  <c:v>Probar animaciones</c:v>
                </c:pt>
                <c:pt idx="42">
                  <c:v>Optimizar rendimiento</c:v>
                </c:pt>
                <c:pt idx="43">
                  <c:v>Documentar codigo</c:v>
                </c:pt>
                <c:pt idx="44">
                  <c:v>Elaborar informe final</c:v>
                </c:pt>
              </c:strCache>
            </c:strRef>
          </c:cat>
          <c:val>
            <c:numRef>
              <c:f>'PROYECTO SOFTWARE ARDUINO CUBO '!$F$8:$F$52</c:f>
              <c:numCache>
                <c:formatCode>mm/dd</c:formatCode>
                <c:ptCount val="45"/>
                <c:pt idx="0">
                  <c:v>46067</c:v>
                </c:pt>
                <c:pt idx="1">
                  <c:v>46067</c:v>
                </c:pt>
                <c:pt idx="2">
                  <c:v>46069</c:v>
                </c:pt>
                <c:pt idx="3">
                  <c:v>46071</c:v>
                </c:pt>
                <c:pt idx="4">
                  <c:v>46074</c:v>
                </c:pt>
                <c:pt idx="5">
                  <c:v>46074</c:v>
                </c:pt>
                <c:pt idx="6">
                  <c:v>46079</c:v>
                </c:pt>
                <c:pt idx="7">
                  <c:v>46082</c:v>
                </c:pt>
                <c:pt idx="8">
                  <c:v>46089</c:v>
                </c:pt>
                <c:pt idx="9">
                  <c:v>46089</c:v>
                </c:pt>
                <c:pt idx="10">
                  <c:v>46091</c:v>
                </c:pt>
                <c:pt idx="11">
                  <c:v>46093</c:v>
                </c:pt>
                <c:pt idx="12">
                  <c:v>46094</c:v>
                </c:pt>
                <c:pt idx="13">
                  <c:v>46096</c:v>
                </c:pt>
                <c:pt idx="14">
                  <c:v>46099</c:v>
                </c:pt>
                <c:pt idx="15">
                  <c:v>46107</c:v>
                </c:pt>
                <c:pt idx="16">
                  <c:v>46107</c:v>
                </c:pt>
                <c:pt idx="17">
                  <c:v>46110</c:v>
                </c:pt>
                <c:pt idx="18">
                  <c:v>46113</c:v>
                </c:pt>
                <c:pt idx="19">
                  <c:v>46115</c:v>
                </c:pt>
                <c:pt idx="20">
                  <c:v>46119</c:v>
                </c:pt>
                <c:pt idx="21">
                  <c:v>46121</c:v>
                </c:pt>
                <c:pt idx="22">
                  <c:v>46123</c:v>
                </c:pt>
                <c:pt idx="23">
                  <c:v>46125</c:v>
                </c:pt>
                <c:pt idx="24">
                  <c:v>46128</c:v>
                </c:pt>
                <c:pt idx="25">
                  <c:v>46129</c:v>
                </c:pt>
                <c:pt idx="26">
                  <c:v>46130</c:v>
                </c:pt>
                <c:pt idx="27">
                  <c:v>46131</c:v>
                </c:pt>
                <c:pt idx="28">
                  <c:v>46132</c:v>
                </c:pt>
                <c:pt idx="29">
                  <c:v>46133</c:v>
                </c:pt>
                <c:pt idx="30">
                  <c:v>46133</c:v>
                </c:pt>
                <c:pt idx="31">
                  <c:v>46135</c:v>
                </c:pt>
                <c:pt idx="32">
                  <c:v>46138</c:v>
                </c:pt>
                <c:pt idx="33">
                  <c:v>46142</c:v>
                </c:pt>
                <c:pt idx="34">
                  <c:v>46145</c:v>
                </c:pt>
                <c:pt idx="35">
                  <c:v>46148</c:v>
                </c:pt>
                <c:pt idx="36">
                  <c:v>46151</c:v>
                </c:pt>
                <c:pt idx="37">
                  <c:v>46158</c:v>
                </c:pt>
                <c:pt idx="38">
                  <c:v>46158</c:v>
                </c:pt>
                <c:pt idx="39">
                  <c:v>46160</c:v>
                </c:pt>
                <c:pt idx="40">
                  <c:v>46162</c:v>
                </c:pt>
                <c:pt idx="41">
                  <c:v>46166</c:v>
                </c:pt>
                <c:pt idx="42">
                  <c:v>46168</c:v>
                </c:pt>
                <c:pt idx="43">
                  <c:v>46170</c:v>
                </c:pt>
                <c:pt idx="44">
                  <c:v>46172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B-4CCB-A17E-31B43F0CEC10}"/>
            </c:ext>
          </c:extLst>
        </c:ser>
        <c:ser>
          <c:idx val="1"/>
          <c:order val="1"/>
          <c:tx>
            <c:v>Duracion de los dias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'PROYECTO SOFTWARE ARDUINO CUBO '!$C$8:$C$52</c:f>
              <c:strCache>
                <c:ptCount val="45"/>
                <c:pt idx="0">
                  <c:v>Concepción e Inicio del Proyecto</c:v>
                </c:pt>
                <c:pt idx="1">
                  <c:v>Identificar interesados del proyecto</c:v>
                </c:pt>
                <c:pt idx="2">
                  <c:v>Definir objetivo del proyecto</c:v>
                </c:pt>
                <c:pt idx="3">
                  <c:v>Levantar requerimientos del sistema</c:v>
                </c:pt>
                <c:pt idx="4">
                  <c:v>Establecer alcance del proyecto</c:v>
                </c:pt>
                <c:pt idx="5">
                  <c:v>Identificar funcionalidades del software</c:v>
                </c:pt>
                <c:pt idx="6">
                  <c:v>Definir limitaciones tecnicas</c:v>
                </c:pt>
                <c:pt idx="7">
                  <c:v>Analizar memoria y pines del Arduino</c:v>
                </c:pt>
                <c:pt idx="8">
                  <c:v>Definición y Planificación del Proyecto</c:v>
                </c:pt>
                <c:pt idx="9">
                  <c:v>Elaborar EDT del proyecto</c:v>
                </c:pt>
                <c:pt idx="10">
                  <c:v>Construir cronograma del proyecto</c:v>
                </c:pt>
                <c:pt idx="11">
                  <c:v>Asignar responsables por tarea</c:v>
                </c:pt>
                <c:pt idx="12">
                  <c:v>Estimar recursos necesarios</c:v>
                </c:pt>
                <c:pt idx="13">
                  <c:v>Estimar costos y presupuesto</c:v>
                </c:pt>
                <c:pt idx="14">
                  <c:v>Diseñar flujo general del programa</c:v>
                </c:pt>
                <c:pt idx="15">
                  <c:v>Lanzamiento y Ejecución del Proyecto</c:v>
                </c:pt>
                <c:pt idx="16">
                  <c:v>Construir molde de LEDs</c:v>
                </c:pt>
                <c:pt idx="17">
                  <c:v>Construir molde estructural</c:v>
                </c:pt>
                <c:pt idx="18">
                  <c:v>Cortar tramos de alambre</c:v>
                </c:pt>
                <c:pt idx="19">
                  <c:v>Conectar LEDs en serie</c:v>
                </c:pt>
                <c:pt idx="20">
                  <c:v>Conectar linea VCC</c:v>
                </c:pt>
                <c:pt idx="21">
                  <c:v>Conectar linea GND</c:v>
                </c:pt>
                <c:pt idx="22">
                  <c:v>Probar fila de LEDs</c:v>
                </c:pt>
                <c:pt idx="23">
                  <c:v>Construir todas las filas</c:v>
                </c:pt>
                <c:pt idx="24">
                  <c:v>Instalar lineas VCC verticales</c:v>
                </c:pt>
                <c:pt idx="25">
                  <c:v>Instalar lineas GND verticales</c:v>
                </c:pt>
                <c:pt idx="26">
                  <c:v>Conectar datos entre filas</c:v>
                </c:pt>
                <c:pt idx="27">
                  <c:v>Probar panel completo</c:v>
                </c:pt>
                <c:pt idx="28">
                  <c:v>Recubrir LEDs</c:v>
                </c:pt>
                <c:pt idx="29">
                  <c:v>Desarrollo de Software</c:v>
                </c:pt>
                <c:pt idx="30">
                  <c:v>Configurar entorno y librerias</c:v>
                </c:pt>
                <c:pt idx="31">
                  <c:v>Configurar comunicacion con LEDs</c:v>
                </c:pt>
                <c:pt idx="32">
                  <c:v>Programar matriz 3D</c:v>
                </c:pt>
                <c:pt idx="33">
                  <c:v>Programar secuencia de bits</c:v>
                </c:pt>
                <c:pt idx="34">
                  <c:v>Programar actualizacion del cubo</c:v>
                </c:pt>
                <c:pt idx="35">
                  <c:v>Programar funciones base</c:v>
                </c:pt>
                <c:pt idx="36">
                  <c:v>Programar figuras y animaciones</c:v>
                </c:pt>
                <c:pt idx="37">
                  <c:v>Desempeño / Monitoreo del Proyecto</c:v>
                </c:pt>
                <c:pt idx="38">
                  <c:v>Probar LED individual</c:v>
                </c:pt>
                <c:pt idx="39">
                  <c:v>Probar direccionamiento completo</c:v>
                </c:pt>
                <c:pt idx="40">
                  <c:v>Probar figuras y planos</c:v>
                </c:pt>
                <c:pt idx="41">
                  <c:v>Probar animaciones</c:v>
                </c:pt>
                <c:pt idx="42">
                  <c:v>Optimizar rendimiento</c:v>
                </c:pt>
                <c:pt idx="43">
                  <c:v>Documentar codigo</c:v>
                </c:pt>
                <c:pt idx="44">
                  <c:v>Elaborar informe final</c:v>
                </c:pt>
              </c:strCache>
            </c:strRef>
          </c:cat>
          <c:val>
            <c:numRef>
              <c:f>'PROYECTO SOFTWARE ARDUINO CUBO '!$H$8:$H$52</c:f>
              <c:numCache>
                <c:formatCode>0</c:formatCode>
                <c:ptCount val="45"/>
                <c:pt idx="0">
                  <c:v>22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5</c:v>
                </c:pt>
                <c:pt idx="6">
                  <c:v>3</c:v>
                </c:pt>
                <c:pt idx="7">
                  <c:v>7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8</c:v>
                </c:pt>
                <c:pt idx="15">
                  <c:v>26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4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3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25</c:v>
                </c:pt>
                <c:pt idx="30">
                  <c:v>2</c:v>
                </c:pt>
                <c:pt idx="31">
                  <c:v>3</c:v>
                </c:pt>
                <c:pt idx="32">
                  <c:v>4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7</c:v>
                </c:pt>
                <c:pt idx="37">
                  <c:v>15</c:v>
                </c:pt>
                <c:pt idx="38">
                  <c:v>2</c:v>
                </c:pt>
                <c:pt idx="39">
                  <c:v>2</c:v>
                </c:pt>
                <c:pt idx="40">
                  <c:v>4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B-4CCB-A17E-31B43F0CE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965121343"/>
        <c:axId val="1965121823"/>
      </c:barChart>
      <c:catAx>
        <c:axId val="1965121343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5121823"/>
        <c:crosses val="autoZero"/>
        <c:auto val="1"/>
        <c:lblAlgn val="ctr"/>
        <c:lblOffset val="100"/>
        <c:noMultiLvlLbl val="0"/>
      </c:catAx>
      <c:valAx>
        <c:axId val="1965121823"/>
        <c:scaling>
          <c:orientation val="minMax"/>
          <c:max val="46171"/>
          <c:min val="4606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d\-mmmm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5121343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176890</xdr:colOff>
      <xdr:row>55</xdr:row>
      <xdr:rowOff>81642</xdr:rowOff>
    </xdr:from>
    <xdr:to>
      <xdr:col>16</xdr:col>
      <xdr:colOff>285748</xdr:colOff>
      <xdr:row>143</xdr:row>
      <xdr:rowOff>95249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6E38D48-9CA1-49BF-C482-53A0676B7C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001"/>
  <sheetViews>
    <sheetView showGridLines="0" tabSelected="1" topLeftCell="B1" zoomScale="55" zoomScaleNormal="55" workbookViewId="0">
      <pane ySplit="1" topLeftCell="A54" activePane="bottomLeft" state="frozen"/>
      <selection pane="bottomLeft" activeCell="C47" sqref="C47"/>
    </sheetView>
  </sheetViews>
  <sheetFormatPr baseColWidth="10" defaultColWidth="11" defaultRowHeight="13.5" outlineLevelRow="1" x14ac:dyDescent="0.25"/>
  <cols>
    <col min="1" max="1" width="3.375" style="5" customWidth="1"/>
    <col min="2" max="2" width="7.875" style="5" customWidth="1"/>
    <col min="3" max="3" width="57" style="5" bestFit="1" customWidth="1"/>
    <col min="4" max="4" width="11.875" style="5" bestFit="1" customWidth="1"/>
    <col min="5" max="5" width="20.875" style="5" customWidth="1"/>
    <col min="6" max="6" width="15.25" style="5" customWidth="1"/>
    <col min="7" max="7" width="11.5" style="5" customWidth="1"/>
    <col min="8" max="8" width="11.875" style="5" customWidth="1"/>
    <col min="9" max="9" width="50.875" style="5" customWidth="1"/>
    <col min="10" max="10" width="3.375" style="5" customWidth="1"/>
    <col min="11" max="11" width="12.875" style="5" customWidth="1"/>
    <col min="12" max="17" width="11" style="5"/>
    <col min="18" max="18" width="9" style="5" customWidth="1"/>
    <col min="19" max="16384" width="11" style="5"/>
  </cols>
  <sheetData>
    <row r="1" spans="1:258" ht="57" customHeight="1" x14ac:dyDescent="0.25">
      <c r="A1" s="65" t="s">
        <v>32</v>
      </c>
      <c r="B1" s="65"/>
      <c r="C1" s="65"/>
      <c r="D1" s="65"/>
      <c r="E1" s="65"/>
      <c r="F1" s="65"/>
      <c r="G1" s="65"/>
      <c r="H1" s="65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14" customFormat="1" ht="18" customHeight="1" x14ac:dyDescent="0.25">
      <c r="A2" s="13"/>
      <c r="B2" s="13"/>
      <c r="C2" s="13" t="s">
        <v>12</v>
      </c>
      <c r="D2" s="13"/>
      <c r="E2" s="13" t="s">
        <v>14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</row>
    <row r="3" spans="1:258" ht="30" customHeight="1" thickBot="1" x14ac:dyDescent="0.3">
      <c r="A3" s="1"/>
      <c r="B3" s="1"/>
      <c r="C3" s="27" t="s">
        <v>32</v>
      </c>
      <c r="D3" s="1"/>
      <c r="E3" s="46">
        <v>46067</v>
      </c>
      <c r="F3" s="1"/>
      <c r="G3" s="1"/>
      <c r="H3" s="1" t="s">
        <v>16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14" customFormat="1" ht="18" customHeight="1" thickBot="1" x14ac:dyDescent="0.3">
      <c r="A4" s="13"/>
      <c r="B4" s="13"/>
      <c r="C4" s="28" t="s">
        <v>13</v>
      </c>
      <c r="D4" s="13"/>
      <c r="E4" s="28" t="s">
        <v>15</v>
      </c>
      <c r="F4" s="13"/>
      <c r="G4" s="13"/>
      <c r="H4" s="13" t="s">
        <v>17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</row>
    <row r="5" spans="1:258" ht="30" customHeight="1" thickBot="1" x14ac:dyDescent="0.3">
      <c r="A5" s="1"/>
      <c r="B5" s="1"/>
      <c r="C5" s="45" t="s">
        <v>33</v>
      </c>
      <c r="D5" s="1"/>
      <c r="E5" s="46">
        <v>46172</v>
      </c>
      <c r="F5" s="1"/>
      <c r="G5" s="1"/>
      <c r="H5" s="47">
        <f>IF(E3=0,0,E5-E3)+1</f>
        <v>106</v>
      </c>
      <c r="I5" s="1"/>
      <c r="J5" s="1"/>
      <c r="K5" s="1"/>
      <c r="L5" s="1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x14ac:dyDescent="0.25">
      <c r="A6" s="1"/>
      <c r="B6" s="1"/>
      <c r="C6" s="1"/>
      <c r="D6" s="1"/>
      <c r="E6" s="29"/>
      <c r="F6" s="1"/>
      <c r="G6" s="1"/>
      <c r="H6" s="29"/>
      <c r="I6" s="1"/>
      <c r="J6" s="1"/>
      <c r="K6" s="1"/>
      <c r="L6" s="1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9" customFormat="1" ht="35.1" customHeight="1" thickBot="1" x14ac:dyDescent="0.3">
      <c r="A7" s="8"/>
      <c r="B7" s="31" t="s">
        <v>45</v>
      </c>
      <c r="C7" s="31" t="s">
        <v>6</v>
      </c>
      <c r="D7" s="31" t="s">
        <v>7</v>
      </c>
      <c r="E7" s="31" t="s">
        <v>8</v>
      </c>
      <c r="F7" s="34" t="s">
        <v>14</v>
      </c>
      <c r="G7" s="35" t="s">
        <v>9</v>
      </c>
      <c r="H7" s="31" t="s">
        <v>10</v>
      </c>
      <c r="I7" s="31" t="s">
        <v>11</v>
      </c>
      <c r="J7" s="8"/>
      <c r="K7" s="50" t="s">
        <v>7</v>
      </c>
      <c r="L7" s="8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</row>
    <row r="8" spans="1:258" s="7" customFormat="1" ht="24.95" customHeight="1" x14ac:dyDescent="0.25">
      <c r="A8" s="6"/>
      <c r="B8" s="30">
        <v>1</v>
      </c>
      <c r="C8" s="51" t="s">
        <v>2</v>
      </c>
      <c r="D8" s="48" t="s">
        <v>19</v>
      </c>
      <c r="E8" s="32" t="s">
        <v>22</v>
      </c>
      <c r="F8" s="33">
        <v>46067</v>
      </c>
      <c r="G8" s="36">
        <v>46088</v>
      </c>
      <c r="H8" s="37">
        <f>IF(F8=0,0,G8-F8)+1</f>
        <v>22</v>
      </c>
      <c r="I8" s="38"/>
      <c r="J8" s="6"/>
      <c r="K8" s="49" t="s">
        <v>20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</row>
    <row r="9" spans="1:258" s="7" customFormat="1" ht="24.95" customHeight="1" outlineLevel="1" x14ac:dyDescent="0.25">
      <c r="A9" s="6"/>
      <c r="B9" s="2" t="s">
        <v>23</v>
      </c>
      <c r="C9" s="10" t="s">
        <v>67</v>
      </c>
      <c r="D9" s="3" t="s">
        <v>18</v>
      </c>
      <c r="E9" s="4" t="s">
        <v>22</v>
      </c>
      <c r="F9" s="39">
        <v>46067</v>
      </c>
      <c r="G9" s="39">
        <v>46068</v>
      </c>
      <c r="H9" s="43">
        <f t="shared" ref="H9:H12" si="0">IF(F9=0,0,G9-F9)+1</f>
        <v>2</v>
      </c>
      <c r="I9" s="2" t="s">
        <v>44</v>
      </c>
      <c r="J9" s="6"/>
      <c r="K9" s="48" t="s">
        <v>19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</row>
    <row r="10" spans="1:258" s="7" customFormat="1" ht="24.95" customHeight="1" outlineLevel="1" x14ac:dyDescent="0.25">
      <c r="A10" s="6"/>
      <c r="B10" s="2" t="s">
        <v>24</v>
      </c>
      <c r="C10" s="10" t="s">
        <v>68</v>
      </c>
      <c r="D10" s="3" t="s">
        <v>18</v>
      </c>
      <c r="E10" s="4" t="s">
        <v>22</v>
      </c>
      <c r="F10" s="39">
        <v>46069</v>
      </c>
      <c r="G10" s="39">
        <v>46070</v>
      </c>
      <c r="H10" s="43">
        <f t="shared" si="0"/>
        <v>2</v>
      </c>
      <c r="I10" s="2" t="s">
        <v>34</v>
      </c>
      <c r="J10" s="6"/>
      <c r="K10" s="52" t="s">
        <v>18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</row>
    <row r="11" spans="1:258" s="7" customFormat="1" ht="24.95" customHeight="1" outlineLevel="1" x14ac:dyDescent="0.25">
      <c r="A11" s="6"/>
      <c r="B11" s="2" t="s">
        <v>46</v>
      </c>
      <c r="C11" s="10" t="s">
        <v>69</v>
      </c>
      <c r="D11" s="3" t="s">
        <v>18</v>
      </c>
      <c r="E11" s="4" t="s">
        <v>22</v>
      </c>
      <c r="F11" s="39">
        <v>46071</v>
      </c>
      <c r="G11" s="39">
        <v>46073</v>
      </c>
      <c r="H11" s="43">
        <f t="shared" si="0"/>
        <v>3</v>
      </c>
      <c r="I11" s="2" t="s">
        <v>35</v>
      </c>
      <c r="J11" s="6"/>
      <c r="K11" s="53" t="s">
        <v>21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</row>
    <row r="12" spans="1:258" s="7" customFormat="1" ht="24.95" customHeight="1" outlineLevel="1" x14ac:dyDescent="0.25">
      <c r="A12" s="6"/>
      <c r="B12" s="2" t="s">
        <v>47</v>
      </c>
      <c r="C12" s="10" t="s">
        <v>70</v>
      </c>
      <c r="D12" s="3" t="s">
        <v>18</v>
      </c>
      <c r="E12" s="4" t="s">
        <v>22</v>
      </c>
      <c r="F12" s="39">
        <v>46074</v>
      </c>
      <c r="G12" s="39">
        <v>46074</v>
      </c>
      <c r="H12" s="43">
        <f t="shared" si="0"/>
        <v>1</v>
      </c>
      <c r="I12" s="2" t="s">
        <v>48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</row>
    <row r="13" spans="1:258" s="7" customFormat="1" ht="24.95" customHeight="1" outlineLevel="1" x14ac:dyDescent="0.25">
      <c r="A13" s="6"/>
      <c r="B13" s="2" t="s">
        <v>49</v>
      </c>
      <c r="C13" s="10" t="s">
        <v>71</v>
      </c>
      <c r="D13" s="3" t="s">
        <v>18</v>
      </c>
      <c r="E13" s="4" t="s">
        <v>22</v>
      </c>
      <c r="F13" s="39">
        <v>46074</v>
      </c>
      <c r="G13" s="39">
        <v>46078</v>
      </c>
      <c r="H13" s="43">
        <f>IF(F13=0,0,G13-F13)+1</f>
        <v>5</v>
      </c>
      <c r="I13" s="7" t="s">
        <v>62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</row>
    <row r="14" spans="1:258" s="7" customFormat="1" ht="24.95" customHeight="1" outlineLevel="1" x14ac:dyDescent="0.25">
      <c r="A14" s="6"/>
      <c r="B14" s="2" t="s">
        <v>50</v>
      </c>
      <c r="C14" s="10" t="s">
        <v>72</v>
      </c>
      <c r="D14" s="3" t="s">
        <v>18</v>
      </c>
      <c r="E14" s="4" t="s">
        <v>22</v>
      </c>
      <c r="F14" s="39">
        <v>46079</v>
      </c>
      <c r="G14" s="39">
        <v>46081</v>
      </c>
      <c r="H14" s="43">
        <f t="shared" ref="H14:H15" si="1">IF(F14=0,0,G14-F14)+1</f>
        <v>3</v>
      </c>
      <c r="I14" s="2" t="s">
        <v>51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</row>
    <row r="15" spans="1:258" s="7" customFormat="1" ht="24.95" customHeight="1" outlineLevel="1" x14ac:dyDescent="0.25">
      <c r="A15" s="6"/>
      <c r="B15" s="2" t="s">
        <v>25</v>
      </c>
      <c r="C15" s="10" t="s">
        <v>73</v>
      </c>
      <c r="D15" s="3" t="s">
        <v>18</v>
      </c>
      <c r="E15" s="4" t="s">
        <v>22</v>
      </c>
      <c r="F15" s="39">
        <v>46082</v>
      </c>
      <c r="G15" s="39">
        <v>46088</v>
      </c>
      <c r="H15" s="43">
        <f t="shared" si="1"/>
        <v>7</v>
      </c>
      <c r="I15" s="2" t="s">
        <v>52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</row>
    <row r="16" spans="1:258" s="7" customFormat="1" ht="26.25" customHeight="1" x14ac:dyDescent="0.25">
      <c r="A16" s="6"/>
      <c r="B16" s="56">
        <v>2</v>
      </c>
      <c r="C16" s="56" t="s">
        <v>3</v>
      </c>
      <c r="D16" s="57" t="s">
        <v>19</v>
      </c>
      <c r="E16" s="58" t="s">
        <v>22</v>
      </c>
      <c r="F16" s="59">
        <v>46089</v>
      </c>
      <c r="G16" s="60">
        <v>46106</v>
      </c>
      <c r="H16" s="61">
        <f>IF(F16=0,0,G16-F16)+1</f>
        <v>18</v>
      </c>
      <c r="I16" s="56"/>
      <c r="J16" s="6"/>
      <c r="K16" s="1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</row>
    <row r="17" spans="1:258" s="7" customFormat="1" ht="24.95" customHeight="1" outlineLevel="1" x14ac:dyDescent="0.25">
      <c r="A17" s="6"/>
      <c r="B17" s="2" t="s">
        <v>26</v>
      </c>
      <c r="C17" s="10" t="s">
        <v>74</v>
      </c>
      <c r="D17" s="3" t="s">
        <v>18</v>
      </c>
      <c r="E17" s="4" t="s">
        <v>22</v>
      </c>
      <c r="F17" s="39">
        <v>46089</v>
      </c>
      <c r="G17" s="39">
        <v>46090</v>
      </c>
      <c r="H17" s="44">
        <f t="shared" ref="H17:H35" si="2">IF(F17=0,0,G17-F17)+1</f>
        <v>2</v>
      </c>
      <c r="I17" s="2" t="s">
        <v>36</v>
      </c>
      <c r="J17" s="6"/>
      <c r="K17" s="1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</row>
    <row r="18" spans="1:258" s="7" customFormat="1" ht="24.95" customHeight="1" outlineLevel="1" x14ac:dyDescent="0.25">
      <c r="A18" s="6"/>
      <c r="B18" s="2" t="s">
        <v>27</v>
      </c>
      <c r="C18" s="10" t="s">
        <v>75</v>
      </c>
      <c r="D18" s="3" t="s">
        <v>18</v>
      </c>
      <c r="E18" s="4" t="s">
        <v>22</v>
      </c>
      <c r="F18" s="39">
        <v>46091</v>
      </c>
      <c r="G18" s="39">
        <v>46092</v>
      </c>
      <c r="H18" s="44">
        <f t="shared" si="2"/>
        <v>2</v>
      </c>
      <c r="I18" s="2" t="s">
        <v>37</v>
      </c>
      <c r="J18" s="6"/>
      <c r="K18" s="1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</row>
    <row r="19" spans="1:258" s="7" customFormat="1" ht="24.95" customHeight="1" outlineLevel="1" x14ac:dyDescent="0.25">
      <c r="A19" s="6"/>
      <c r="B19" s="2" t="s">
        <v>53</v>
      </c>
      <c r="C19" s="10" t="s">
        <v>76</v>
      </c>
      <c r="D19" s="3" t="s">
        <v>18</v>
      </c>
      <c r="E19" s="4" t="s">
        <v>22</v>
      </c>
      <c r="F19" s="39">
        <v>46093</v>
      </c>
      <c r="G19" s="39">
        <v>46093</v>
      </c>
      <c r="H19" s="44">
        <f t="shared" si="2"/>
        <v>1</v>
      </c>
      <c r="I19" s="2" t="s">
        <v>38</v>
      </c>
      <c r="J19" s="6"/>
      <c r="K19" s="1"/>
      <c r="L19" s="55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</row>
    <row r="20" spans="1:258" s="7" customFormat="1" ht="24.95" customHeight="1" outlineLevel="1" x14ac:dyDescent="0.25">
      <c r="A20" s="6"/>
      <c r="B20" s="2" t="s">
        <v>54</v>
      </c>
      <c r="C20" s="10" t="s">
        <v>77</v>
      </c>
      <c r="D20" s="3" t="s">
        <v>18</v>
      </c>
      <c r="E20" s="4" t="s">
        <v>22</v>
      </c>
      <c r="F20" s="39">
        <v>46094</v>
      </c>
      <c r="G20" s="40">
        <v>46095</v>
      </c>
      <c r="H20" s="44">
        <f t="shared" si="2"/>
        <v>2</v>
      </c>
      <c r="I20" s="2" t="s">
        <v>55</v>
      </c>
      <c r="J20" s="6"/>
      <c r="K20" s="1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</row>
    <row r="21" spans="1:258" s="7" customFormat="1" ht="24.95" customHeight="1" outlineLevel="1" thickBot="1" x14ac:dyDescent="0.3">
      <c r="A21" s="6"/>
      <c r="B21" s="12" t="s">
        <v>56</v>
      </c>
      <c r="C21" s="11" t="s">
        <v>78</v>
      </c>
      <c r="D21" s="3" t="s">
        <v>18</v>
      </c>
      <c r="E21" s="4" t="s">
        <v>22</v>
      </c>
      <c r="F21" s="41">
        <v>46096</v>
      </c>
      <c r="G21" s="42">
        <v>46098</v>
      </c>
      <c r="H21" s="44">
        <f t="shared" si="2"/>
        <v>3</v>
      </c>
      <c r="I21" s="2" t="s">
        <v>57</v>
      </c>
      <c r="J21" s="6"/>
      <c r="K21" s="1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</row>
    <row r="22" spans="1:258" s="7" customFormat="1" ht="24.95" customHeight="1" outlineLevel="1" x14ac:dyDescent="0.25">
      <c r="A22" s="6"/>
      <c r="B22" s="2" t="s">
        <v>58</v>
      </c>
      <c r="C22" s="10" t="s">
        <v>79</v>
      </c>
      <c r="D22" s="3" t="s">
        <v>18</v>
      </c>
      <c r="E22" s="4" t="s">
        <v>22</v>
      </c>
      <c r="F22" s="39">
        <v>46099</v>
      </c>
      <c r="G22" s="39">
        <v>46106</v>
      </c>
      <c r="H22" s="44">
        <f t="shared" si="2"/>
        <v>8</v>
      </c>
      <c r="I22" s="2" t="s">
        <v>59</v>
      </c>
      <c r="J22" s="6"/>
      <c r="K22" s="1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</row>
    <row r="23" spans="1:258" s="7" customFormat="1" ht="27" customHeight="1" x14ac:dyDescent="0.25">
      <c r="A23" s="6"/>
      <c r="B23" s="17">
        <v>3</v>
      </c>
      <c r="C23" s="17" t="s">
        <v>4</v>
      </c>
      <c r="D23" s="62" t="s">
        <v>19</v>
      </c>
      <c r="E23" s="19" t="s">
        <v>22</v>
      </c>
      <c r="F23" s="20">
        <v>46107</v>
      </c>
      <c r="G23" s="21">
        <v>46132</v>
      </c>
      <c r="H23" s="22">
        <f>IF(F23=0,0,G23-F23)+1</f>
        <v>26</v>
      </c>
      <c r="I23" s="15"/>
      <c r="J23" s="6"/>
      <c r="K23" s="1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</row>
    <row r="24" spans="1:258" s="7" customFormat="1" ht="24.95" customHeight="1" outlineLevel="1" x14ac:dyDescent="0.25">
      <c r="A24" s="6"/>
      <c r="B24" s="2" t="s">
        <v>28</v>
      </c>
      <c r="C24" s="10" t="s">
        <v>80</v>
      </c>
      <c r="D24" s="3" t="s">
        <v>18</v>
      </c>
      <c r="E24" s="4" t="s">
        <v>22</v>
      </c>
      <c r="F24" s="39">
        <v>46107</v>
      </c>
      <c r="G24" s="39">
        <v>46109</v>
      </c>
      <c r="H24" s="73">
        <f t="shared" si="2"/>
        <v>3</v>
      </c>
      <c r="I24" s="2" t="s">
        <v>61</v>
      </c>
      <c r="J24" s="6"/>
      <c r="K24" s="1"/>
      <c r="L24" s="55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</row>
    <row r="25" spans="1:258" s="7" customFormat="1" ht="24.95" customHeight="1" outlineLevel="1" x14ac:dyDescent="0.25">
      <c r="A25" s="6"/>
      <c r="B25" s="2" t="s">
        <v>29</v>
      </c>
      <c r="C25" s="10" t="s">
        <v>81</v>
      </c>
      <c r="D25" s="3" t="s">
        <v>18</v>
      </c>
      <c r="E25" s="4" t="s">
        <v>22</v>
      </c>
      <c r="F25" s="39">
        <v>46110</v>
      </c>
      <c r="G25" s="40">
        <v>46112</v>
      </c>
      <c r="H25" s="73">
        <f t="shared" si="2"/>
        <v>3</v>
      </c>
      <c r="I25" s="2" t="s">
        <v>39</v>
      </c>
      <c r="J25" s="6"/>
      <c r="K25" s="1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</row>
    <row r="26" spans="1:258" s="7" customFormat="1" ht="24.95" customHeight="1" outlineLevel="1" thickBot="1" x14ac:dyDescent="0.3">
      <c r="A26" s="6"/>
      <c r="B26" s="12" t="s">
        <v>0</v>
      </c>
      <c r="C26" s="11" t="s">
        <v>82</v>
      </c>
      <c r="D26" s="3" t="s">
        <v>18</v>
      </c>
      <c r="E26" s="4" t="s">
        <v>22</v>
      </c>
      <c r="F26" s="41">
        <v>46113</v>
      </c>
      <c r="G26" s="42">
        <v>46114</v>
      </c>
      <c r="H26" s="73">
        <f t="shared" si="2"/>
        <v>2</v>
      </c>
      <c r="I26" s="2" t="s">
        <v>40</v>
      </c>
      <c r="J26" s="6"/>
      <c r="K26" s="1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</row>
    <row r="27" spans="1:258" s="7" customFormat="1" ht="24.95" customHeight="1" outlineLevel="1" x14ac:dyDescent="0.25">
      <c r="A27" s="6"/>
      <c r="B27" s="2" t="s">
        <v>1</v>
      </c>
      <c r="C27" s="10" t="s">
        <v>83</v>
      </c>
      <c r="D27" s="3" t="s">
        <v>19</v>
      </c>
      <c r="E27" s="4" t="s">
        <v>22</v>
      </c>
      <c r="F27" s="39">
        <v>46115</v>
      </c>
      <c r="G27" s="39">
        <v>46118</v>
      </c>
      <c r="H27" s="73">
        <f t="shared" si="2"/>
        <v>4</v>
      </c>
      <c r="I27" s="2" t="s">
        <v>42</v>
      </c>
      <c r="J27" s="6"/>
      <c r="K27" s="1"/>
      <c r="L27" s="55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</row>
    <row r="28" spans="1:258" s="7" customFormat="1" ht="24.95" customHeight="1" outlineLevel="1" x14ac:dyDescent="0.25">
      <c r="A28" s="6"/>
      <c r="B28" s="2" t="s">
        <v>84</v>
      </c>
      <c r="C28" s="10" t="s">
        <v>85</v>
      </c>
      <c r="D28" s="3" t="s">
        <v>60</v>
      </c>
      <c r="E28" s="4" t="s">
        <v>22</v>
      </c>
      <c r="F28" s="39">
        <v>46119</v>
      </c>
      <c r="G28" s="40">
        <v>46120</v>
      </c>
      <c r="H28" s="73">
        <f t="shared" si="2"/>
        <v>2</v>
      </c>
      <c r="I28" s="2" t="s">
        <v>41</v>
      </c>
      <c r="J28" s="6"/>
      <c r="K28" s="1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</row>
    <row r="29" spans="1:258" s="7" customFormat="1" ht="24.95" customHeight="1" outlineLevel="1" thickBot="1" x14ac:dyDescent="0.3">
      <c r="A29" s="6"/>
      <c r="B29" s="12" t="s">
        <v>86</v>
      </c>
      <c r="C29" s="11" t="s">
        <v>87</v>
      </c>
      <c r="D29" s="3" t="s">
        <v>60</v>
      </c>
      <c r="E29" s="4" t="s">
        <v>22</v>
      </c>
      <c r="F29" s="41">
        <v>46121</v>
      </c>
      <c r="G29" s="42">
        <v>46122</v>
      </c>
      <c r="H29" s="73">
        <f t="shared" si="2"/>
        <v>2</v>
      </c>
      <c r="I29" s="2" t="s">
        <v>88</v>
      </c>
      <c r="J29" s="6"/>
      <c r="K29" s="1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</row>
    <row r="30" spans="1:258" s="7" customFormat="1" ht="24.95" customHeight="1" outlineLevel="1" x14ac:dyDescent="0.25">
      <c r="A30" s="6"/>
      <c r="B30" s="2" t="s">
        <v>89</v>
      </c>
      <c r="C30" s="10" t="s">
        <v>90</v>
      </c>
      <c r="D30" s="3" t="s">
        <v>19</v>
      </c>
      <c r="E30" s="4" t="s">
        <v>22</v>
      </c>
      <c r="F30" s="39">
        <v>46123</v>
      </c>
      <c r="G30" s="39">
        <v>46124</v>
      </c>
      <c r="H30" s="73">
        <f t="shared" si="2"/>
        <v>2</v>
      </c>
      <c r="I30" s="2" t="s">
        <v>91</v>
      </c>
      <c r="J30" s="6"/>
      <c r="K30" s="1"/>
      <c r="L30" s="55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</row>
    <row r="31" spans="1:258" s="7" customFormat="1" ht="24.95" customHeight="1" outlineLevel="1" x14ac:dyDescent="0.25">
      <c r="A31" s="6"/>
      <c r="B31" s="2" t="s">
        <v>92</v>
      </c>
      <c r="C31" s="10" t="s">
        <v>93</v>
      </c>
      <c r="D31" s="3" t="s">
        <v>60</v>
      </c>
      <c r="E31" s="4" t="s">
        <v>22</v>
      </c>
      <c r="F31" s="39">
        <v>46125</v>
      </c>
      <c r="G31" s="39">
        <v>46127</v>
      </c>
      <c r="H31" s="73">
        <f t="shared" si="2"/>
        <v>3</v>
      </c>
      <c r="I31" s="2" t="s">
        <v>94</v>
      </c>
      <c r="J31" s="6"/>
      <c r="K31" s="1"/>
      <c r="L31" s="55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</row>
    <row r="32" spans="1:258" s="7" customFormat="1" ht="24.95" customHeight="1" outlineLevel="1" x14ac:dyDescent="0.25">
      <c r="A32" s="6"/>
      <c r="B32" s="2" t="s">
        <v>95</v>
      </c>
      <c r="C32" s="10" t="s">
        <v>96</v>
      </c>
      <c r="D32" s="3" t="s">
        <v>60</v>
      </c>
      <c r="E32" s="4" t="s">
        <v>22</v>
      </c>
      <c r="F32" s="39">
        <v>46128</v>
      </c>
      <c r="G32" s="40">
        <v>46128</v>
      </c>
      <c r="H32" s="73">
        <f t="shared" si="2"/>
        <v>1</v>
      </c>
      <c r="I32" s="2" t="s">
        <v>97</v>
      </c>
      <c r="J32" s="6"/>
      <c r="K32" s="1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</row>
    <row r="33" spans="1:258" s="7" customFormat="1" ht="24.95" customHeight="1" outlineLevel="1" thickBot="1" x14ac:dyDescent="0.3">
      <c r="A33" s="6"/>
      <c r="B33" s="12" t="s">
        <v>98</v>
      </c>
      <c r="C33" s="11" t="s">
        <v>99</v>
      </c>
      <c r="D33" s="3" t="s">
        <v>60</v>
      </c>
      <c r="E33" s="4" t="s">
        <v>22</v>
      </c>
      <c r="F33" s="41">
        <v>46129</v>
      </c>
      <c r="G33" s="42">
        <v>46129</v>
      </c>
      <c r="H33" s="73">
        <f t="shared" si="2"/>
        <v>1</v>
      </c>
      <c r="I33" s="2" t="s">
        <v>100</v>
      </c>
      <c r="J33" s="6"/>
      <c r="K33" s="1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</row>
    <row r="34" spans="1:258" s="7" customFormat="1" ht="24.95" customHeight="1" outlineLevel="1" x14ac:dyDescent="0.25">
      <c r="A34" s="6"/>
      <c r="B34" s="2" t="s">
        <v>101</v>
      </c>
      <c r="C34" s="10" t="s">
        <v>102</v>
      </c>
      <c r="D34" s="3" t="s">
        <v>60</v>
      </c>
      <c r="E34" s="4" t="s">
        <v>22</v>
      </c>
      <c r="F34" s="39">
        <v>46130</v>
      </c>
      <c r="G34" s="39">
        <v>46130</v>
      </c>
      <c r="H34" s="73">
        <f t="shared" si="2"/>
        <v>1</v>
      </c>
      <c r="I34" s="2" t="s">
        <v>103</v>
      </c>
      <c r="J34" s="6"/>
      <c r="K34" s="1"/>
      <c r="L34" s="55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</row>
    <row r="35" spans="1:258" s="7" customFormat="1" ht="24.95" customHeight="1" outlineLevel="1" x14ac:dyDescent="0.25">
      <c r="A35" s="6"/>
      <c r="B35" s="2" t="s">
        <v>104</v>
      </c>
      <c r="C35" s="10" t="s">
        <v>105</v>
      </c>
      <c r="D35" s="3" t="s">
        <v>60</v>
      </c>
      <c r="E35" s="4" t="s">
        <v>22</v>
      </c>
      <c r="F35" s="39">
        <v>46131</v>
      </c>
      <c r="G35" s="40">
        <v>46131</v>
      </c>
      <c r="H35" s="73">
        <f t="shared" si="2"/>
        <v>1</v>
      </c>
      <c r="I35" s="2" t="s">
        <v>106</v>
      </c>
      <c r="J35" s="6"/>
      <c r="K35" s="1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</row>
    <row r="36" spans="1:258" s="7" customFormat="1" ht="24.95" customHeight="1" outlineLevel="1" thickBot="1" x14ac:dyDescent="0.3">
      <c r="A36" s="6"/>
      <c r="B36" s="12" t="s">
        <v>107</v>
      </c>
      <c r="C36" s="11" t="s">
        <v>108</v>
      </c>
      <c r="D36" s="3" t="s">
        <v>60</v>
      </c>
      <c r="E36" s="4" t="s">
        <v>22</v>
      </c>
      <c r="F36" s="41">
        <v>46132</v>
      </c>
      <c r="G36" s="42">
        <v>46132</v>
      </c>
      <c r="H36" s="73">
        <f>IF(F36=0,0,G36-F36)+1</f>
        <v>1</v>
      </c>
      <c r="I36" s="2" t="s">
        <v>109</v>
      </c>
      <c r="J36" s="6"/>
      <c r="K36" s="1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</row>
    <row r="37" spans="1:258" s="7" customFormat="1" ht="27" customHeight="1" x14ac:dyDescent="0.25">
      <c r="A37" s="6"/>
      <c r="B37" s="66">
        <v>4</v>
      </c>
      <c r="C37" s="66" t="s">
        <v>110</v>
      </c>
      <c r="D37" s="67" t="s">
        <v>19</v>
      </c>
      <c r="E37" s="68" t="s">
        <v>22</v>
      </c>
      <c r="F37" s="69">
        <v>46133</v>
      </c>
      <c r="G37" s="70">
        <v>46157</v>
      </c>
      <c r="H37" s="71">
        <f>IF(F37=0,0,G37-F37)+1</f>
        <v>25</v>
      </c>
      <c r="I37" s="72"/>
      <c r="J37" s="6"/>
      <c r="K37" s="1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</row>
    <row r="38" spans="1:258" s="7" customFormat="1" ht="24.95" customHeight="1" outlineLevel="1" x14ac:dyDescent="0.25">
      <c r="A38" s="6"/>
      <c r="B38" s="2" t="s">
        <v>30</v>
      </c>
      <c r="C38" s="10" t="s">
        <v>111</v>
      </c>
      <c r="D38" s="3" t="s">
        <v>18</v>
      </c>
      <c r="E38" s="4" t="s">
        <v>22</v>
      </c>
      <c r="F38" s="39">
        <v>46133</v>
      </c>
      <c r="G38" s="40">
        <v>46134</v>
      </c>
      <c r="H38" s="74">
        <f>IF(F38=0,0,G38-F38)+1</f>
        <v>2</v>
      </c>
      <c r="I38" s="2" t="s">
        <v>112</v>
      </c>
      <c r="J38" s="6"/>
      <c r="K38" s="1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</row>
    <row r="39" spans="1:258" s="7" customFormat="1" ht="24.95" customHeight="1" outlineLevel="1" x14ac:dyDescent="0.25">
      <c r="A39" s="6"/>
      <c r="B39" s="2" t="s">
        <v>31</v>
      </c>
      <c r="C39" s="10" t="s">
        <v>113</v>
      </c>
      <c r="D39" s="3" t="s">
        <v>19</v>
      </c>
      <c r="E39" s="4" t="s">
        <v>22</v>
      </c>
      <c r="F39" s="39">
        <v>46135</v>
      </c>
      <c r="G39" s="40">
        <v>46137</v>
      </c>
      <c r="H39" s="74">
        <f t="shared" ref="H39:H52" si="3">IF(F39=0,0,G39-F39)+1</f>
        <v>3</v>
      </c>
      <c r="I39" s="2" t="s">
        <v>43</v>
      </c>
      <c r="J39" s="6"/>
      <c r="K39" s="1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</row>
    <row r="40" spans="1:258" s="7" customFormat="1" ht="24.95" customHeight="1" outlineLevel="1" x14ac:dyDescent="0.25">
      <c r="A40" s="6"/>
      <c r="B40" s="2" t="s">
        <v>63</v>
      </c>
      <c r="C40" s="10" t="s">
        <v>114</v>
      </c>
      <c r="D40" s="3" t="s">
        <v>19</v>
      </c>
      <c r="E40" s="4" t="s">
        <v>22</v>
      </c>
      <c r="F40" s="39">
        <v>46138</v>
      </c>
      <c r="G40" s="40">
        <v>46141</v>
      </c>
      <c r="H40" s="74">
        <f t="shared" si="3"/>
        <v>4</v>
      </c>
      <c r="I40" s="2" t="s">
        <v>64</v>
      </c>
      <c r="J40" s="6"/>
      <c r="K40" s="1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</row>
    <row r="41" spans="1:258" s="7" customFormat="1" ht="24.95" customHeight="1" outlineLevel="1" thickBot="1" x14ac:dyDescent="0.3">
      <c r="A41" s="6"/>
      <c r="B41" s="12" t="s">
        <v>65</v>
      </c>
      <c r="C41" s="11" t="s">
        <v>115</v>
      </c>
      <c r="D41" s="3" t="s">
        <v>19</v>
      </c>
      <c r="E41" s="4" t="s">
        <v>22</v>
      </c>
      <c r="F41" s="41">
        <v>46142</v>
      </c>
      <c r="G41" s="42">
        <v>46144</v>
      </c>
      <c r="H41" s="74">
        <f t="shared" si="3"/>
        <v>3</v>
      </c>
      <c r="I41" s="2" t="s">
        <v>66</v>
      </c>
      <c r="J41" s="6"/>
      <c r="K41" s="1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</row>
    <row r="42" spans="1:258" s="7" customFormat="1" ht="24.95" customHeight="1" outlineLevel="1" x14ac:dyDescent="0.25">
      <c r="A42" s="6"/>
      <c r="B42" s="2" t="s">
        <v>116</v>
      </c>
      <c r="C42" s="10" t="s">
        <v>117</v>
      </c>
      <c r="D42" s="3" t="s">
        <v>19</v>
      </c>
      <c r="E42" s="4" t="s">
        <v>22</v>
      </c>
      <c r="F42" s="39">
        <v>46145</v>
      </c>
      <c r="G42" s="40">
        <v>46147</v>
      </c>
      <c r="H42" s="74">
        <f t="shared" si="3"/>
        <v>3</v>
      </c>
      <c r="I42" s="2" t="s">
        <v>118</v>
      </c>
      <c r="J42" s="6"/>
      <c r="K42" s="1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</row>
    <row r="43" spans="1:258" s="7" customFormat="1" ht="24.95" customHeight="1" outlineLevel="1" thickBot="1" x14ac:dyDescent="0.3">
      <c r="A43" s="6"/>
      <c r="B43" s="12" t="s">
        <v>119</v>
      </c>
      <c r="C43" s="11" t="s">
        <v>120</v>
      </c>
      <c r="D43" s="3" t="s">
        <v>19</v>
      </c>
      <c r="E43" s="4" t="s">
        <v>22</v>
      </c>
      <c r="F43" s="41">
        <v>46148</v>
      </c>
      <c r="G43" s="42">
        <v>46150</v>
      </c>
      <c r="H43" s="74">
        <f t="shared" si="3"/>
        <v>3</v>
      </c>
      <c r="I43" s="2" t="s">
        <v>121</v>
      </c>
      <c r="J43" s="6"/>
      <c r="K43" s="1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</row>
    <row r="44" spans="1:258" s="7" customFormat="1" ht="24.95" customHeight="1" outlineLevel="1" x14ac:dyDescent="0.25">
      <c r="A44" s="6"/>
      <c r="B44" s="2" t="s">
        <v>122</v>
      </c>
      <c r="C44" s="10" t="s">
        <v>123</v>
      </c>
      <c r="D44" s="3" t="s">
        <v>60</v>
      </c>
      <c r="E44" s="4" t="s">
        <v>22</v>
      </c>
      <c r="F44" s="39">
        <v>46151</v>
      </c>
      <c r="G44" s="40">
        <v>46157</v>
      </c>
      <c r="H44" s="74">
        <f t="shared" si="3"/>
        <v>7</v>
      </c>
      <c r="I44" s="2" t="s">
        <v>124</v>
      </c>
      <c r="J44" s="6"/>
      <c r="K44" s="1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</row>
    <row r="45" spans="1:258" s="7" customFormat="1" ht="36" customHeight="1" x14ac:dyDescent="0.25">
      <c r="A45" s="6"/>
      <c r="B45" s="18">
        <v>5</v>
      </c>
      <c r="C45" s="18" t="s">
        <v>5</v>
      </c>
      <c r="D45" s="63" t="s">
        <v>20</v>
      </c>
      <c r="E45" s="23" t="s">
        <v>22</v>
      </c>
      <c r="F45" s="24">
        <v>46158</v>
      </c>
      <c r="G45" s="25">
        <v>46172</v>
      </c>
      <c r="H45" s="26">
        <f>IF(F45=0,0,G45-F45)+1</f>
        <v>15</v>
      </c>
      <c r="I45" s="16"/>
      <c r="J45" s="6"/>
      <c r="K45" s="1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</row>
    <row r="46" spans="1:258" s="7" customFormat="1" ht="24.95" customHeight="1" outlineLevel="1" x14ac:dyDescent="0.25">
      <c r="A46" s="6"/>
      <c r="B46" s="2" t="s">
        <v>125</v>
      </c>
      <c r="C46" s="10" t="s">
        <v>126</v>
      </c>
      <c r="D46" s="3" t="s">
        <v>60</v>
      </c>
      <c r="E46" s="4" t="s">
        <v>22</v>
      </c>
      <c r="F46" s="39">
        <v>46158</v>
      </c>
      <c r="G46" s="40">
        <v>46159</v>
      </c>
      <c r="H46" s="64">
        <f t="shared" si="3"/>
        <v>2</v>
      </c>
      <c r="I46" s="2" t="s">
        <v>127</v>
      </c>
      <c r="J46" s="6"/>
      <c r="K46" s="1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</row>
    <row r="47" spans="1:258" s="7" customFormat="1" ht="24.95" customHeight="1" outlineLevel="1" x14ac:dyDescent="0.25">
      <c r="A47" s="6"/>
      <c r="B47" s="2" t="s">
        <v>128</v>
      </c>
      <c r="C47" s="10" t="s">
        <v>129</v>
      </c>
      <c r="D47" s="3" t="s">
        <v>60</v>
      </c>
      <c r="E47" s="4" t="s">
        <v>22</v>
      </c>
      <c r="F47" s="39">
        <v>46160</v>
      </c>
      <c r="G47" s="40">
        <v>46161</v>
      </c>
      <c r="H47" s="64">
        <f t="shared" si="3"/>
        <v>2</v>
      </c>
      <c r="I47" s="2" t="s">
        <v>130</v>
      </c>
      <c r="J47" s="6"/>
      <c r="K47" s="1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</row>
    <row r="48" spans="1:258" s="7" customFormat="1" ht="24.95" customHeight="1" outlineLevel="1" x14ac:dyDescent="0.25">
      <c r="A48" s="6"/>
      <c r="B48" s="2" t="s">
        <v>131</v>
      </c>
      <c r="C48" s="10" t="s">
        <v>132</v>
      </c>
      <c r="D48" s="3" t="s">
        <v>60</v>
      </c>
      <c r="E48" s="4" t="s">
        <v>22</v>
      </c>
      <c r="F48" s="39">
        <v>46162</v>
      </c>
      <c r="G48" s="40">
        <v>46165</v>
      </c>
      <c r="H48" s="64">
        <f t="shared" si="3"/>
        <v>4</v>
      </c>
      <c r="I48" s="2" t="s">
        <v>133</v>
      </c>
      <c r="J48" s="6"/>
      <c r="K48" s="1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</row>
    <row r="49" spans="1:258" s="7" customFormat="1" ht="24.95" customHeight="1" outlineLevel="1" x14ac:dyDescent="0.25">
      <c r="A49" s="6"/>
      <c r="B49" s="2" t="s">
        <v>134</v>
      </c>
      <c r="C49" s="10" t="s">
        <v>135</v>
      </c>
      <c r="D49" s="3" t="s">
        <v>60</v>
      </c>
      <c r="E49" s="4" t="s">
        <v>22</v>
      </c>
      <c r="F49" s="39">
        <v>46166</v>
      </c>
      <c r="G49" s="40">
        <v>46167</v>
      </c>
      <c r="H49" s="64">
        <f t="shared" si="3"/>
        <v>2</v>
      </c>
      <c r="I49" s="2" t="s">
        <v>136</v>
      </c>
      <c r="J49" s="6"/>
      <c r="K49" s="1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</row>
    <row r="50" spans="1:258" s="7" customFormat="1" ht="24.95" customHeight="1" outlineLevel="1" x14ac:dyDescent="0.25">
      <c r="A50" s="6"/>
      <c r="B50" s="2" t="s">
        <v>137</v>
      </c>
      <c r="C50" s="10" t="s">
        <v>138</v>
      </c>
      <c r="D50" s="3" t="s">
        <v>60</v>
      </c>
      <c r="E50" s="4" t="s">
        <v>22</v>
      </c>
      <c r="F50" s="39">
        <v>46168</v>
      </c>
      <c r="G50" s="40">
        <v>46169</v>
      </c>
      <c r="H50" s="64">
        <f t="shared" si="3"/>
        <v>2</v>
      </c>
      <c r="I50" s="2" t="s">
        <v>139</v>
      </c>
      <c r="J50" s="6"/>
      <c r="K50" s="1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/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/>
      <c r="IM50" s="6"/>
      <c r="IN50" s="6"/>
      <c r="IO50" s="6"/>
      <c r="IP50" s="6"/>
      <c r="IQ50" s="6"/>
      <c r="IR50" s="6"/>
      <c r="IS50" s="6"/>
      <c r="IT50" s="6"/>
      <c r="IU50" s="6"/>
      <c r="IV50" s="6"/>
      <c r="IW50" s="6"/>
      <c r="IX50" s="6"/>
    </row>
    <row r="51" spans="1:258" s="7" customFormat="1" ht="24.95" customHeight="1" outlineLevel="1" x14ac:dyDescent="0.25">
      <c r="A51" s="6"/>
      <c r="B51" s="2" t="s">
        <v>140</v>
      </c>
      <c r="C51" s="10" t="s">
        <v>141</v>
      </c>
      <c r="D51" s="3" t="s">
        <v>60</v>
      </c>
      <c r="E51" s="4" t="s">
        <v>22</v>
      </c>
      <c r="F51" s="39">
        <v>46170</v>
      </c>
      <c r="G51" s="40">
        <v>46171</v>
      </c>
      <c r="H51" s="64">
        <f t="shared" si="3"/>
        <v>2</v>
      </c>
      <c r="I51" s="2" t="s">
        <v>142</v>
      </c>
      <c r="J51" s="6"/>
      <c r="K51" s="1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</row>
    <row r="52" spans="1:258" s="7" customFormat="1" ht="24.95" customHeight="1" outlineLevel="1" x14ac:dyDescent="0.25">
      <c r="A52" s="6"/>
      <c r="B52" s="2" t="s">
        <v>143</v>
      </c>
      <c r="C52" s="10" t="s">
        <v>144</v>
      </c>
      <c r="D52" s="3" t="s">
        <v>60</v>
      </c>
      <c r="E52" s="4" t="s">
        <v>22</v>
      </c>
      <c r="F52" s="39">
        <v>46172</v>
      </c>
      <c r="G52" s="40">
        <v>46172</v>
      </c>
      <c r="H52" s="64">
        <f t="shared" si="3"/>
        <v>1</v>
      </c>
      <c r="I52" s="2" t="s">
        <v>145</v>
      </c>
      <c r="J52" s="6"/>
      <c r="K52" s="1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</row>
    <row r="53" spans="1:258" x14ac:dyDescent="0.25">
      <c r="A53" s="1"/>
      <c r="B53" s="1"/>
      <c r="C53" s="1"/>
      <c r="D53" s="1"/>
      <c r="E53" s="1"/>
      <c r="F53" s="1"/>
      <c r="G53" s="1"/>
      <c r="H53" s="54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  <row r="56" spans="1:25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</row>
    <row r="57" spans="1:25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</row>
    <row r="58" spans="1:25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</row>
    <row r="59" spans="1:25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</row>
    <row r="60" spans="1:25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</row>
    <row r="70" spans="1:25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</row>
    <row r="71" spans="1:25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</row>
    <row r="72" spans="1:25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</row>
    <row r="73" spans="1:25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</row>
    <row r="74" spans="1:25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</row>
    <row r="75" spans="1:25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</row>
    <row r="85" spans="1:25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</row>
    <row r="86" spans="1:25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</row>
    <row r="87" spans="1:25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</row>
    <row r="88" spans="1:25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</row>
    <row r="89" spans="1:25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8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8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8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8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8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8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8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8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  <c r="IY312" s="1"/>
      <c r="IZ312" s="1"/>
      <c r="JA312" s="1"/>
      <c r="JB312" s="1"/>
      <c r="JC312" s="1"/>
      <c r="JD312" s="1"/>
      <c r="JE312" s="1"/>
      <c r="JF312" s="1"/>
      <c r="JG312" s="1"/>
      <c r="JH312" s="1"/>
      <c r="JI312" s="1"/>
      <c r="JJ312" s="1"/>
      <c r="JK312" s="1"/>
      <c r="JL312" s="1"/>
      <c r="JM312" s="1"/>
      <c r="JN312" s="1"/>
      <c r="JO312" s="1"/>
      <c r="JP312" s="1"/>
      <c r="JQ312" s="1"/>
      <c r="JR312" s="1"/>
      <c r="JS312" s="1"/>
      <c r="JT312" s="1"/>
      <c r="JU312" s="1"/>
      <c r="JV312" s="1"/>
    </row>
    <row r="313" spans="1:28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  <c r="IY313" s="1"/>
      <c r="IZ313" s="1"/>
      <c r="JA313" s="1"/>
      <c r="JB313" s="1"/>
      <c r="JC313" s="1"/>
      <c r="JD313" s="1"/>
      <c r="JE313" s="1"/>
      <c r="JF313" s="1"/>
      <c r="JG313" s="1"/>
      <c r="JH313" s="1"/>
      <c r="JI313" s="1"/>
      <c r="JJ313" s="1"/>
      <c r="JK313" s="1"/>
      <c r="JL313" s="1"/>
      <c r="JM313" s="1"/>
      <c r="JN313" s="1"/>
      <c r="JO313" s="1"/>
      <c r="JP313" s="1"/>
      <c r="JQ313" s="1"/>
      <c r="JR313" s="1"/>
      <c r="JS313" s="1"/>
      <c r="JT313" s="1"/>
      <c r="JU313" s="1"/>
      <c r="JV313" s="1"/>
    </row>
    <row r="314" spans="1:28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  <c r="IY314" s="1"/>
      <c r="IZ314" s="1"/>
      <c r="JA314" s="1"/>
      <c r="JB314" s="1"/>
      <c r="JC314" s="1"/>
      <c r="JD314" s="1"/>
      <c r="JE314" s="1"/>
      <c r="JF314" s="1"/>
      <c r="JG314" s="1"/>
      <c r="JH314" s="1"/>
      <c r="JI314" s="1"/>
      <c r="JJ314" s="1"/>
      <c r="JK314" s="1"/>
      <c r="JL314" s="1"/>
      <c r="JM314" s="1"/>
      <c r="JN314" s="1"/>
      <c r="JO314" s="1"/>
      <c r="JP314" s="1"/>
      <c r="JQ314" s="1"/>
      <c r="JR314" s="1"/>
      <c r="JS314" s="1"/>
      <c r="JT314" s="1"/>
      <c r="JU314" s="1"/>
      <c r="JV314" s="1"/>
    </row>
    <row r="315" spans="1:28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  <c r="IY315" s="1"/>
      <c r="IZ315" s="1"/>
      <c r="JA315" s="1"/>
      <c r="JB315" s="1"/>
      <c r="JC315" s="1"/>
      <c r="JD315" s="1"/>
      <c r="JE315" s="1"/>
      <c r="JF315" s="1"/>
      <c r="JG315" s="1"/>
      <c r="JH315" s="1"/>
      <c r="JI315" s="1"/>
      <c r="JJ315" s="1"/>
      <c r="JK315" s="1"/>
      <c r="JL315" s="1"/>
      <c r="JM315" s="1"/>
      <c r="JN315" s="1"/>
      <c r="JO315" s="1"/>
      <c r="JP315" s="1"/>
      <c r="JQ315" s="1"/>
      <c r="JR315" s="1"/>
      <c r="JS315" s="1"/>
      <c r="JT315" s="1"/>
      <c r="JU315" s="1"/>
      <c r="JV315" s="1"/>
    </row>
    <row r="316" spans="1:28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  <c r="IY316" s="1"/>
      <c r="IZ316" s="1"/>
      <c r="JA316" s="1"/>
      <c r="JB316" s="1"/>
      <c r="JC316" s="1"/>
      <c r="JD316" s="1"/>
      <c r="JE316" s="1"/>
      <c r="JF316" s="1"/>
      <c r="JG316" s="1"/>
      <c r="JH316" s="1"/>
      <c r="JI316" s="1"/>
      <c r="JJ316" s="1"/>
      <c r="JK316" s="1"/>
      <c r="JL316" s="1"/>
      <c r="JM316" s="1"/>
      <c r="JN316" s="1"/>
      <c r="JO316" s="1"/>
      <c r="JP316" s="1"/>
      <c r="JQ316" s="1"/>
      <c r="JR316" s="1"/>
      <c r="JS316" s="1"/>
      <c r="JT316" s="1"/>
      <c r="JU316" s="1"/>
      <c r="JV316" s="1"/>
    </row>
    <row r="317" spans="1:28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  <c r="IY317" s="1"/>
      <c r="IZ317" s="1"/>
      <c r="JA317" s="1"/>
      <c r="JB317" s="1"/>
      <c r="JC317" s="1"/>
      <c r="JD317" s="1"/>
      <c r="JE317" s="1"/>
      <c r="JF317" s="1"/>
      <c r="JG317" s="1"/>
      <c r="JH317" s="1"/>
      <c r="JI317" s="1"/>
      <c r="JJ317" s="1"/>
      <c r="JK317" s="1"/>
      <c r="JL317" s="1"/>
      <c r="JM317" s="1"/>
      <c r="JN317" s="1"/>
      <c r="JO317" s="1"/>
      <c r="JP317" s="1"/>
      <c r="JQ317" s="1"/>
      <c r="JR317" s="1"/>
      <c r="JS317" s="1"/>
      <c r="JT317" s="1"/>
      <c r="JU317" s="1"/>
      <c r="JV317" s="1"/>
    </row>
    <row r="318" spans="1:28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  <c r="IY318" s="1"/>
      <c r="IZ318" s="1"/>
      <c r="JA318" s="1"/>
      <c r="JB318" s="1"/>
      <c r="JC318" s="1"/>
      <c r="JD318" s="1"/>
      <c r="JE318" s="1"/>
      <c r="JF318" s="1"/>
      <c r="JG318" s="1"/>
      <c r="JH318" s="1"/>
      <c r="JI318" s="1"/>
      <c r="JJ318" s="1"/>
      <c r="JK318" s="1"/>
      <c r="JL318" s="1"/>
      <c r="JM318" s="1"/>
      <c r="JN318" s="1"/>
      <c r="JO318" s="1"/>
      <c r="JP318" s="1"/>
      <c r="JQ318" s="1"/>
      <c r="JR318" s="1"/>
      <c r="JS318" s="1"/>
      <c r="JT318" s="1"/>
      <c r="JU318" s="1"/>
      <c r="JV318" s="1"/>
    </row>
    <row r="319" spans="1:28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  <c r="IY319" s="1"/>
      <c r="IZ319" s="1"/>
      <c r="JA319" s="1"/>
      <c r="JB319" s="1"/>
      <c r="JC319" s="1"/>
      <c r="JD319" s="1"/>
      <c r="JE319" s="1"/>
      <c r="JF319" s="1"/>
      <c r="JG319" s="1"/>
      <c r="JH319" s="1"/>
      <c r="JI319" s="1"/>
      <c r="JJ319" s="1"/>
      <c r="JK319" s="1"/>
      <c r="JL319" s="1"/>
      <c r="JM319" s="1"/>
      <c r="JN319" s="1"/>
      <c r="JO319" s="1"/>
      <c r="JP319" s="1"/>
      <c r="JQ319" s="1"/>
      <c r="JR319" s="1"/>
      <c r="JS319" s="1"/>
      <c r="JT319" s="1"/>
      <c r="JU319" s="1"/>
      <c r="JV319" s="1"/>
    </row>
    <row r="320" spans="1:28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  <c r="IY320" s="1"/>
      <c r="IZ320" s="1"/>
      <c r="JA320" s="1"/>
      <c r="JB320" s="1"/>
      <c r="JC320" s="1"/>
      <c r="JD320" s="1"/>
      <c r="JE320" s="1"/>
      <c r="JF320" s="1"/>
      <c r="JG320" s="1"/>
      <c r="JH320" s="1"/>
      <c r="JI320" s="1"/>
      <c r="JJ320" s="1"/>
      <c r="JK320" s="1"/>
      <c r="JL320" s="1"/>
      <c r="JM320" s="1"/>
      <c r="JN320" s="1"/>
      <c r="JO320" s="1"/>
      <c r="JP320" s="1"/>
      <c r="JQ320" s="1"/>
      <c r="JR320" s="1"/>
      <c r="JS320" s="1"/>
      <c r="JT320" s="1"/>
      <c r="JU320" s="1"/>
      <c r="JV320" s="1"/>
    </row>
    <row r="321" spans="1:28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  <c r="IY321" s="1"/>
      <c r="IZ321" s="1"/>
      <c r="JA321" s="1"/>
      <c r="JB321" s="1"/>
      <c r="JC321" s="1"/>
      <c r="JD321" s="1"/>
      <c r="JE321" s="1"/>
      <c r="JF321" s="1"/>
      <c r="JG321" s="1"/>
      <c r="JH321" s="1"/>
      <c r="JI321" s="1"/>
      <c r="JJ321" s="1"/>
      <c r="JK321" s="1"/>
      <c r="JL321" s="1"/>
      <c r="JM321" s="1"/>
      <c r="JN321" s="1"/>
      <c r="JO321" s="1"/>
      <c r="JP321" s="1"/>
      <c r="JQ321" s="1"/>
      <c r="JR321" s="1"/>
      <c r="JS321" s="1"/>
      <c r="JT321" s="1"/>
      <c r="JU321" s="1"/>
      <c r="JV321" s="1"/>
    </row>
    <row r="322" spans="1:28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  <c r="IY322" s="1"/>
      <c r="IZ322" s="1"/>
      <c r="JA322" s="1"/>
      <c r="JB322" s="1"/>
      <c r="JC322" s="1"/>
      <c r="JD322" s="1"/>
      <c r="JE322" s="1"/>
      <c r="JF322" s="1"/>
      <c r="JG322" s="1"/>
      <c r="JH322" s="1"/>
      <c r="JI322" s="1"/>
      <c r="JJ322" s="1"/>
      <c r="JK322" s="1"/>
      <c r="JL322" s="1"/>
      <c r="JM322" s="1"/>
      <c r="JN322" s="1"/>
      <c r="JO322" s="1"/>
      <c r="JP322" s="1"/>
      <c r="JQ322" s="1"/>
      <c r="JR322" s="1"/>
      <c r="JS322" s="1"/>
      <c r="JT322" s="1"/>
      <c r="JU322" s="1"/>
      <c r="JV322" s="1"/>
    </row>
    <row r="323" spans="1:28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  <c r="IY323" s="1"/>
      <c r="IZ323" s="1"/>
      <c r="JA323" s="1"/>
      <c r="JB323" s="1"/>
      <c r="JC323" s="1"/>
      <c r="JD323" s="1"/>
      <c r="JE323" s="1"/>
      <c r="JF323" s="1"/>
      <c r="JG323" s="1"/>
      <c r="JH323" s="1"/>
      <c r="JI323" s="1"/>
      <c r="JJ323" s="1"/>
      <c r="JK323" s="1"/>
      <c r="JL323" s="1"/>
      <c r="JM323" s="1"/>
      <c r="JN323" s="1"/>
      <c r="JO323" s="1"/>
      <c r="JP323" s="1"/>
      <c r="JQ323" s="1"/>
      <c r="JR323" s="1"/>
      <c r="JS323" s="1"/>
      <c r="JT323" s="1"/>
      <c r="JU323" s="1"/>
      <c r="JV323" s="1"/>
    </row>
    <row r="324" spans="1:28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  <c r="IY324" s="1"/>
      <c r="IZ324" s="1"/>
      <c r="JA324" s="1"/>
      <c r="JB324" s="1"/>
      <c r="JC324" s="1"/>
      <c r="JD324" s="1"/>
      <c r="JE324" s="1"/>
      <c r="JF324" s="1"/>
      <c r="JG324" s="1"/>
      <c r="JH324" s="1"/>
      <c r="JI324" s="1"/>
      <c r="JJ324" s="1"/>
      <c r="JK324" s="1"/>
      <c r="JL324" s="1"/>
      <c r="JM324" s="1"/>
      <c r="JN324" s="1"/>
      <c r="JO324" s="1"/>
      <c r="JP324" s="1"/>
      <c r="JQ324" s="1"/>
      <c r="JR324" s="1"/>
      <c r="JS324" s="1"/>
      <c r="JT324" s="1"/>
      <c r="JU324" s="1"/>
      <c r="JV324" s="1"/>
    </row>
    <row r="325" spans="1:28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  <c r="IY325" s="1"/>
      <c r="IZ325" s="1"/>
      <c r="JA325" s="1"/>
      <c r="JB325" s="1"/>
      <c r="JC325" s="1"/>
      <c r="JD325" s="1"/>
      <c r="JE325" s="1"/>
      <c r="JF325" s="1"/>
      <c r="JG325" s="1"/>
      <c r="JH325" s="1"/>
      <c r="JI325" s="1"/>
      <c r="JJ325" s="1"/>
      <c r="JK325" s="1"/>
      <c r="JL325" s="1"/>
      <c r="JM325" s="1"/>
      <c r="JN325" s="1"/>
      <c r="JO325" s="1"/>
      <c r="JP325" s="1"/>
      <c r="JQ325" s="1"/>
      <c r="JR325" s="1"/>
      <c r="JS325" s="1"/>
      <c r="JT325" s="1"/>
      <c r="JU325" s="1"/>
      <c r="JV325" s="1"/>
    </row>
    <row r="326" spans="1:28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  <c r="IY326" s="1"/>
      <c r="IZ326" s="1"/>
      <c r="JA326" s="1"/>
      <c r="JB326" s="1"/>
      <c r="JC326" s="1"/>
      <c r="JD326" s="1"/>
      <c r="JE326" s="1"/>
      <c r="JF326" s="1"/>
      <c r="JG326" s="1"/>
      <c r="JH326" s="1"/>
      <c r="JI326" s="1"/>
      <c r="JJ326" s="1"/>
      <c r="JK326" s="1"/>
      <c r="JL326" s="1"/>
      <c r="JM326" s="1"/>
      <c r="JN326" s="1"/>
      <c r="JO326" s="1"/>
      <c r="JP326" s="1"/>
      <c r="JQ326" s="1"/>
      <c r="JR326" s="1"/>
      <c r="JS326" s="1"/>
      <c r="JT326" s="1"/>
      <c r="JU326" s="1"/>
      <c r="JV326" s="1"/>
    </row>
    <row r="327" spans="1:28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  <c r="IY327" s="1"/>
      <c r="IZ327" s="1"/>
      <c r="JA327" s="1"/>
      <c r="JB327" s="1"/>
      <c r="JC327" s="1"/>
      <c r="JD327" s="1"/>
      <c r="JE327" s="1"/>
      <c r="JF327" s="1"/>
      <c r="JG327" s="1"/>
      <c r="JH327" s="1"/>
      <c r="JI327" s="1"/>
      <c r="JJ327" s="1"/>
      <c r="JK327" s="1"/>
      <c r="JL327" s="1"/>
      <c r="JM327" s="1"/>
      <c r="JN327" s="1"/>
      <c r="JO327" s="1"/>
      <c r="JP327" s="1"/>
      <c r="JQ327" s="1"/>
      <c r="JR327" s="1"/>
      <c r="JS327" s="1"/>
      <c r="JT327" s="1"/>
      <c r="JU327" s="1"/>
      <c r="JV327" s="1"/>
    </row>
    <row r="328" spans="1:28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  <c r="IY328" s="1"/>
      <c r="IZ328" s="1"/>
      <c r="JA328" s="1"/>
      <c r="JB328" s="1"/>
      <c r="JC328" s="1"/>
      <c r="JD328" s="1"/>
      <c r="JE328" s="1"/>
      <c r="JF328" s="1"/>
      <c r="JG328" s="1"/>
      <c r="JH328" s="1"/>
      <c r="JI328" s="1"/>
      <c r="JJ328" s="1"/>
      <c r="JK328" s="1"/>
      <c r="JL328" s="1"/>
      <c r="JM328" s="1"/>
      <c r="JN328" s="1"/>
      <c r="JO328" s="1"/>
      <c r="JP328" s="1"/>
      <c r="JQ328" s="1"/>
      <c r="JR328" s="1"/>
      <c r="JS328" s="1"/>
      <c r="JT328" s="1"/>
      <c r="JU328" s="1"/>
      <c r="JV328" s="1"/>
    </row>
    <row r="329" spans="1:28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  <c r="IY329" s="1"/>
      <c r="IZ329" s="1"/>
      <c r="JA329" s="1"/>
      <c r="JB329" s="1"/>
      <c r="JC329" s="1"/>
      <c r="JD329" s="1"/>
      <c r="JE329" s="1"/>
      <c r="JF329" s="1"/>
      <c r="JG329" s="1"/>
      <c r="JH329" s="1"/>
      <c r="JI329" s="1"/>
      <c r="JJ329" s="1"/>
      <c r="JK329" s="1"/>
      <c r="JL329" s="1"/>
      <c r="JM329" s="1"/>
      <c r="JN329" s="1"/>
      <c r="JO329" s="1"/>
      <c r="JP329" s="1"/>
      <c r="JQ329" s="1"/>
      <c r="JR329" s="1"/>
      <c r="JS329" s="1"/>
      <c r="JT329" s="1"/>
      <c r="JU329" s="1"/>
      <c r="JV329" s="1"/>
    </row>
    <row r="330" spans="1:28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  <c r="IY330" s="1"/>
      <c r="IZ330" s="1"/>
      <c r="JA330" s="1"/>
      <c r="JB330" s="1"/>
      <c r="JC330" s="1"/>
      <c r="JD330" s="1"/>
      <c r="JE330" s="1"/>
      <c r="JF330" s="1"/>
      <c r="JG330" s="1"/>
      <c r="JH330" s="1"/>
      <c r="JI330" s="1"/>
      <c r="JJ330" s="1"/>
      <c r="JK330" s="1"/>
      <c r="JL330" s="1"/>
      <c r="JM330" s="1"/>
      <c r="JN330" s="1"/>
      <c r="JO330" s="1"/>
      <c r="JP330" s="1"/>
      <c r="JQ330" s="1"/>
      <c r="JR330" s="1"/>
      <c r="JS330" s="1"/>
      <c r="JT330" s="1"/>
      <c r="JU330" s="1"/>
      <c r="JV330" s="1"/>
    </row>
    <row r="331" spans="1:28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  <c r="IY331" s="1"/>
      <c r="IZ331" s="1"/>
      <c r="JA331" s="1"/>
      <c r="JB331" s="1"/>
      <c r="JC331" s="1"/>
      <c r="JD331" s="1"/>
      <c r="JE331" s="1"/>
      <c r="JF331" s="1"/>
      <c r="JG331" s="1"/>
      <c r="JH331" s="1"/>
      <c r="JI331" s="1"/>
      <c r="JJ331" s="1"/>
      <c r="JK331" s="1"/>
      <c r="JL331" s="1"/>
      <c r="JM331" s="1"/>
      <c r="JN331" s="1"/>
      <c r="JO331" s="1"/>
      <c r="JP331" s="1"/>
      <c r="JQ331" s="1"/>
      <c r="JR331" s="1"/>
      <c r="JS331" s="1"/>
      <c r="JT331" s="1"/>
      <c r="JU331" s="1"/>
      <c r="JV331" s="1"/>
    </row>
    <row r="332" spans="1:28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  <c r="IY332" s="1"/>
      <c r="IZ332" s="1"/>
      <c r="JA332" s="1"/>
      <c r="JB332" s="1"/>
      <c r="JC332" s="1"/>
      <c r="JD332" s="1"/>
      <c r="JE332" s="1"/>
      <c r="JF332" s="1"/>
      <c r="JG332" s="1"/>
      <c r="JH332" s="1"/>
      <c r="JI332" s="1"/>
      <c r="JJ332" s="1"/>
      <c r="JK332" s="1"/>
      <c r="JL332" s="1"/>
      <c r="JM332" s="1"/>
      <c r="JN332" s="1"/>
      <c r="JO332" s="1"/>
      <c r="JP332" s="1"/>
      <c r="JQ332" s="1"/>
      <c r="JR332" s="1"/>
      <c r="JS332" s="1"/>
      <c r="JT332" s="1"/>
      <c r="JU332" s="1"/>
      <c r="JV332" s="1"/>
    </row>
    <row r="333" spans="1:28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  <c r="IY333" s="1"/>
      <c r="IZ333" s="1"/>
      <c r="JA333" s="1"/>
      <c r="JB333" s="1"/>
      <c r="JC333" s="1"/>
      <c r="JD333" s="1"/>
      <c r="JE333" s="1"/>
      <c r="JF333" s="1"/>
      <c r="JG333" s="1"/>
      <c r="JH333" s="1"/>
      <c r="JI333" s="1"/>
      <c r="JJ333" s="1"/>
      <c r="JK333" s="1"/>
      <c r="JL333" s="1"/>
      <c r="JM333" s="1"/>
      <c r="JN333" s="1"/>
      <c r="JO333" s="1"/>
      <c r="JP333" s="1"/>
      <c r="JQ333" s="1"/>
      <c r="JR333" s="1"/>
      <c r="JS333" s="1"/>
      <c r="JT333" s="1"/>
      <c r="JU333" s="1"/>
      <c r="JV333" s="1"/>
    </row>
    <row r="334" spans="1:28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  <c r="IY334" s="1"/>
      <c r="IZ334" s="1"/>
      <c r="JA334" s="1"/>
      <c r="JB334" s="1"/>
      <c r="JC334" s="1"/>
      <c r="JD334" s="1"/>
      <c r="JE334" s="1"/>
      <c r="JF334" s="1"/>
      <c r="JG334" s="1"/>
      <c r="JH334" s="1"/>
      <c r="JI334" s="1"/>
      <c r="JJ334" s="1"/>
      <c r="JK334" s="1"/>
      <c r="JL334" s="1"/>
      <c r="JM334" s="1"/>
      <c r="JN334" s="1"/>
      <c r="JO334" s="1"/>
      <c r="JP334" s="1"/>
      <c r="JQ334" s="1"/>
      <c r="JR334" s="1"/>
      <c r="JS334" s="1"/>
      <c r="JT334" s="1"/>
      <c r="JU334" s="1"/>
      <c r="JV334" s="1"/>
    </row>
    <row r="335" spans="1:28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  <c r="IY335" s="1"/>
      <c r="IZ335" s="1"/>
      <c r="JA335" s="1"/>
      <c r="JB335" s="1"/>
      <c r="JC335" s="1"/>
      <c r="JD335" s="1"/>
      <c r="JE335" s="1"/>
      <c r="JF335" s="1"/>
      <c r="JG335" s="1"/>
      <c r="JH335" s="1"/>
      <c r="JI335" s="1"/>
      <c r="JJ335" s="1"/>
      <c r="JK335" s="1"/>
      <c r="JL335" s="1"/>
      <c r="JM335" s="1"/>
      <c r="JN335" s="1"/>
      <c r="JO335" s="1"/>
      <c r="JP335" s="1"/>
      <c r="JQ335" s="1"/>
      <c r="JR335" s="1"/>
      <c r="JS335" s="1"/>
      <c r="JT335" s="1"/>
      <c r="JU335" s="1"/>
      <c r="JV335" s="1"/>
    </row>
    <row r="336" spans="1:28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  <c r="IY336" s="1"/>
      <c r="IZ336" s="1"/>
      <c r="JA336" s="1"/>
      <c r="JB336" s="1"/>
      <c r="JC336" s="1"/>
      <c r="JD336" s="1"/>
      <c r="JE336" s="1"/>
      <c r="JF336" s="1"/>
      <c r="JG336" s="1"/>
      <c r="JH336" s="1"/>
      <c r="JI336" s="1"/>
      <c r="JJ336" s="1"/>
      <c r="JK336" s="1"/>
      <c r="JL336" s="1"/>
      <c r="JM336" s="1"/>
      <c r="JN336" s="1"/>
      <c r="JO336" s="1"/>
      <c r="JP336" s="1"/>
      <c r="JQ336" s="1"/>
      <c r="JR336" s="1"/>
      <c r="JS336" s="1"/>
      <c r="JT336" s="1"/>
      <c r="JU336" s="1"/>
      <c r="JV336" s="1"/>
    </row>
    <row r="337" spans="1:28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  <c r="IY337" s="1"/>
      <c r="IZ337" s="1"/>
      <c r="JA337" s="1"/>
      <c r="JB337" s="1"/>
      <c r="JC337" s="1"/>
      <c r="JD337" s="1"/>
      <c r="JE337" s="1"/>
      <c r="JF337" s="1"/>
      <c r="JG337" s="1"/>
      <c r="JH337" s="1"/>
      <c r="JI337" s="1"/>
      <c r="JJ337" s="1"/>
      <c r="JK337" s="1"/>
      <c r="JL337" s="1"/>
      <c r="JM337" s="1"/>
      <c r="JN337" s="1"/>
      <c r="JO337" s="1"/>
      <c r="JP337" s="1"/>
      <c r="JQ337" s="1"/>
      <c r="JR337" s="1"/>
      <c r="JS337" s="1"/>
      <c r="JT337" s="1"/>
      <c r="JU337" s="1"/>
      <c r="JV337" s="1"/>
    </row>
    <row r="338" spans="1:28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  <c r="IY338" s="1"/>
      <c r="IZ338" s="1"/>
      <c r="JA338" s="1"/>
      <c r="JB338" s="1"/>
      <c r="JC338" s="1"/>
      <c r="JD338" s="1"/>
      <c r="JE338" s="1"/>
      <c r="JF338" s="1"/>
      <c r="JG338" s="1"/>
      <c r="JH338" s="1"/>
      <c r="JI338" s="1"/>
      <c r="JJ338" s="1"/>
      <c r="JK338" s="1"/>
      <c r="JL338" s="1"/>
      <c r="JM338" s="1"/>
      <c r="JN338" s="1"/>
      <c r="JO338" s="1"/>
      <c r="JP338" s="1"/>
      <c r="JQ338" s="1"/>
      <c r="JR338" s="1"/>
      <c r="JS338" s="1"/>
      <c r="JT338" s="1"/>
      <c r="JU338" s="1"/>
      <c r="JV338" s="1"/>
    </row>
    <row r="339" spans="1:28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  <c r="IY339" s="1"/>
      <c r="IZ339" s="1"/>
      <c r="JA339" s="1"/>
      <c r="JB339" s="1"/>
      <c r="JC339" s="1"/>
      <c r="JD339" s="1"/>
      <c r="JE339" s="1"/>
      <c r="JF339" s="1"/>
      <c r="JG339" s="1"/>
      <c r="JH339" s="1"/>
      <c r="JI339" s="1"/>
      <c r="JJ339" s="1"/>
      <c r="JK339" s="1"/>
      <c r="JL339" s="1"/>
      <c r="JM339" s="1"/>
      <c r="JN339" s="1"/>
      <c r="JO339" s="1"/>
      <c r="JP339" s="1"/>
      <c r="JQ339" s="1"/>
      <c r="JR339" s="1"/>
      <c r="JS339" s="1"/>
      <c r="JT339" s="1"/>
      <c r="JU339" s="1"/>
      <c r="JV339" s="1"/>
    </row>
    <row r="340" spans="1:28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  <c r="IY340" s="1"/>
      <c r="IZ340" s="1"/>
      <c r="JA340" s="1"/>
      <c r="JB340" s="1"/>
      <c r="JC340" s="1"/>
      <c r="JD340" s="1"/>
      <c r="JE340" s="1"/>
      <c r="JF340" s="1"/>
      <c r="JG340" s="1"/>
      <c r="JH340" s="1"/>
      <c r="JI340" s="1"/>
      <c r="JJ340" s="1"/>
      <c r="JK340" s="1"/>
      <c r="JL340" s="1"/>
      <c r="JM340" s="1"/>
      <c r="JN340" s="1"/>
      <c r="JO340" s="1"/>
      <c r="JP340" s="1"/>
      <c r="JQ340" s="1"/>
      <c r="JR340" s="1"/>
      <c r="JS340" s="1"/>
      <c r="JT340" s="1"/>
      <c r="JU340" s="1"/>
      <c r="JV340" s="1"/>
    </row>
    <row r="341" spans="1:28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  <c r="IY341" s="1"/>
      <c r="IZ341" s="1"/>
      <c r="JA341" s="1"/>
      <c r="JB341" s="1"/>
      <c r="JC341" s="1"/>
      <c r="JD341" s="1"/>
      <c r="JE341" s="1"/>
      <c r="JF341" s="1"/>
      <c r="JG341" s="1"/>
      <c r="JH341" s="1"/>
      <c r="JI341" s="1"/>
      <c r="JJ341" s="1"/>
      <c r="JK341" s="1"/>
      <c r="JL341" s="1"/>
      <c r="JM341" s="1"/>
      <c r="JN341" s="1"/>
      <c r="JO341" s="1"/>
      <c r="JP341" s="1"/>
      <c r="JQ341" s="1"/>
      <c r="JR341" s="1"/>
      <c r="JS341" s="1"/>
      <c r="JT341" s="1"/>
      <c r="JU341" s="1"/>
      <c r="JV341" s="1"/>
    </row>
    <row r="342" spans="1:28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  <c r="IY342" s="1"/>
      <c r="IZ342" s="1"/>
      <c r="JA342" s="1"/>
      <c r="JB342" s="1"/>
      <c r="JC342" s="1"/>
      <c r="JD342" s="1"/>
      <c r="JE342" s="1"/>
      <c r="JF342" s="1"/>
      <c r="JG342" s="1"/>
      <c r="JH342" s="1"/>
      <c r="JI342" s="1"/>
      <c r="JJ342" s="1"/>
      <c r="JK342" s="1"/>
      <c r="JL342" s="1"/>
      <c r="JM342" s="1"/>
      <c r="JN342" s="1"/>
      <c r="JO342" s="1"/>
      <c r="JP342" s="1"/>
      <c r="JQ342" s="1"/>
      <c r="JR342" s="1"/>
      <c r="JS342" s="1"/>
      <c r="JT342" s="1"/>
      <c r="JU342" s="1"/>
      <c r="JV342" s="1"/>
    </row>
    <row r="343" spans="1:28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  <c r="IY343" s="1"/>
      <c r="IZ343" s="1"/>
      <c r="JA343" s="1"/>
      <c r="JB343" s="1"/>
      <c r="JC343" s="1"/>
      <c r="JD343" s="1"/>
      <c r="JE343" s="1"/>
      <c r="JF343" s="1"/>
      <c r="JG343" s="1"/>
      <c r="JH343" s="1"/>
      <c r="JI343" s="1"/>
      <c r="JJ343" s="1"/>
      <c r="JK343" s="1"/>
      <c r="JL343" s="1"/>
      <c r="JM343" s="1"/>
      <c r="JN343" s="1"/>
      <c r="JO343" s="1"/>
      <c r="JP343" s="1"/>
      <c r="JQ343" s="1"/>
      <c r="JR343" s="1"/>
      <c r="JS343" s="1"/>
      <c r="JT343" s="1"/>
      <c r="JU343" s="1"/>
      <c r="JV343" s="1"/>
    </row>
    <row r="344" spans="1:28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  <c r="IY344" s="1"/>
      <c r="IZ344" s="1"/>
      <c r="JA344" s="1"/>
      <c r="JB344" s="1"/>
      <c r="JC344" s="1"/>
      <c r="JD344" s="1"/>
      <c r="JE344" s="1"/>
      <c r="JF344" s="1"/>
      <c r="JG344" s="1"/>
      <c r="JH344" s="1"/>
      <c r="JI344" s="1"/>
      <c r="JJ344" s="1"/>
      <c r="JK344" s="1"/>
      <c r="JL344" s="1"/>
      <c r="JM344" s="1"/>
      <c r="JN344" s="1"/>
      <c r="JO344" s="1"/>
      <c r="JP344" s="1"/>
      <c r="JQ344" s="1"/>
      <c r="JR344" s="1"/>
      <c r="JS344" s="1"/>
      <c r="JT344" s="1"/>
      <c r="JU344" s="1"/>
      <c r="JV344" s="1"/>
    </row>
    <row r="345" spans="1:28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  <c r="IY345" s="1"/>
      <c r="IZ345" s="1"/>
      <c r="JA345" s="1"/>
      <c r="JB345" s="1"/>
      <c r="JC345" s="1"/>
      <c r="JD345" s="1"/>
      <c r="JE345" s="1"/>
      <c r="JF345" s="1"/>
      <c r="JG345" s="1"/>
      <c r="JH345" s="1"/>
      <c r="JI345" s="1"/>
      <c r="JJ345" s="1"/>
      <c r="JK345" s="1"/>
      <c r="JL345" s="1"/>
      <c r="JM345" s="1"/>
      <c r="JN345" s="1"/>
      <c r="JO345" s="1"/>
      <c r="JP345" s="1"/>
      <c r="JQ345" s="1"/>
      <c r="JR345" s="1"/>
      <c r="JS345" s="1"/>
      <c r="JT345" s="1"/>
      <c r="JU345" s="1"/>
      <c r="JV345" s="1"/>
    </row>
    <row r="346" spans="1:28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  <c r="IY346" s="1"/>
      <c r="IZ346" s="1"/>
      <c r="JA346" s="1"/>
      <c r="JB346" s="1"/>
      <c r="JC346" s="1"/>
      <c r="JD346" s="1"/>
      <c r="JE346" s="1"/>
      <c r="JF346" s="1"/>
      <c r="JG346" s="1"/>
      <c r="JH346" s="1"/>
      <c r="JI346" s="1"/>
      <c r="JJ346" s="1"/>
      <c r="JK346" s="1"/>
      <c r="JL346" s="1"/>
      <c r="JM346" s="1"/>
      <c r="JN346" s="1"/>
      <c r="JO346" s="1"/>
      <c r="JP346" s="1"/>
      <c r="JQ346" s="1"/>
      <c r="JR346" s="1"/>
      <c r="JS346" s="1"/>
      <c r="JT346" s="1"/>
      <c r="JU346" s="1"/>
      <c r="JV346" s="1"/>
    </row>
    <row r="347" spans="1:28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  <c r="IY347" s="1"/>
      <c r="IZ347" s="1"/>
      <c r="JA347" s="1"/>
      <c r="JB347" s="1"/>
      <c r="JC347" s="1"/>
      <c r="JD347" s="1"/>
      <c r="JE347" s="1"/>
      <c r="JF347" s="1"/>
      <c r="JG347" s="1"/>
      <c r="JH347" s="1"/>
      <c r="JI347" s="1"/>
      <c r="JJ347" s="1"/>
      <c r="JK347" s="1"/>
      <c r="JL347" s="1"/>
      <c r="JM347" s="1"/>
      <c r="JN347" s="1"/>
      <c r="JO347" s="1"/>
      <c r="JP347" s="1"/>
      <c r="JQ347" s="1"/>
      <c r="JR347" s="1"/>
      <c r="JS347" s="1"/>
      <c r="JT347" s="1"/>
      <c r="JU347" s="1"/>
      <c r="JV347" s="1"/>
    </row>
    <row r="348" spans="1:28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  <c r="IY348" s="1"/>
      <c r="IZ348" s="1"/>
      <c r="JA348" s="1"/>
      <c r="JB348" s="1"/>
      <c r="JC348" s="1"/>
      <c r="JD348" s="1"/>
      <c r="JE348" s="1"/>
      <c r="JF348" s="1"/>
      <c r="JG348" s="1"/>
      <c r="JH348" s="1"/>
      <c r="JI348" s="1"/>
      <c r="JJ348" s="1"/>
      <c r="JK348" s="1"/>
      <c r="JL348" s="1"/>
      <c r="JM348" s="1"/>
      <c r="JN348" s="1"/>
      <c r="JO348" s="1"/>
      <c r="JP348" s="1"/>
      <c r="JQ348" s="1"/>
      <c r="JR348" s="1"/>
      <c r="JS348" s="1"/>
      <c r="JT348" s="1"/>
      <c r="JU348" s="1"/>
      <c r="JV348" s="1"/>
    </row>
    <row r="349" spans="1:28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  <c r="IY349" s="1"/>
      <c r="IZ349" s="1"/>
      <c r="JA349" s="1"/>
      <c r="JB349" s="1"/>
      <c r="JC349" s="1"/>
      <c r="JD349" s="1"/>
      <c r="JE349" s="1"/>
      <c r="JF349" s="1"/>
      <c r="JG349" s="1"/>
      <c r="JH349" s="1"/>
      <c r="JI349" s="1"/>
      <c r="JJ349" s="1"/>
      <c r="JK349" s="1"/>
      <c r="JL349" s="1"/>
      <c r="JM349" s="1"/>
      <c r="JN349" s="1"/>
      <c r="JO349" s="1"/>
      <c r="JP349" s="1"/>
      <c r="JQ349" s="1"/>
      <c r="JR349" s="1"/>
      <c r="JS349" s="1"/>
      <c r="JT349" s="1"/>
      <c r="JU349" s="1"/>
      <c r="JV349" s="1"/>
    </row>
    <row r="350" spans="1:28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  <c r="IY350" s="1"/>
      <c r="IZ350" s="1"/>
      <c r="JA350" s="1"/>
      <c r="JB350" s="1"/>
      <c r="JC350" s="1"/>
      <c r="JD350" s="1"/>
      <c r="JE350" s="1"/>
      <c r="JF350" s="1"/>
      <c r="JG350" s="1"/>
      <c r="JH350" s="1"/>
      <c r="JI350" s="1"/>
      <c r="JJ350" s="1"/>
      <c r="JK350" s="1"/>
      <c r="JL350" s="1"/>
      <c r="JM350" s="1"/>
      <c r="JN350" s="1"/>
      <c r="JO350" s="1"/>
      <c r="JP350" s="1"/>
      <c r="JQ350" s="1"/>
      <c r="JR350" s="1"/>
      <c r="JS350" s="1"/>
      <c r="JT350" s="1"/>
      <c r="JU350" s="1"/>
      <c r="JV350" s="1"/>
    </row>
    <row r="351" spans="1:28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  <c r="IY351" s="1"/>
      <c r="IZ351" s="1"/>
      <c r="JA351" s="1"/>
      <c r="JB351" s="1"/>
      <c r="JC351" s="1"/>
      <c r="JD351" s="1"/>
      <c r="JE351" s="1"/>
      <c r="JF351" s="1"/>
      <c r="JG351" s="1"/>
      <c r="JH351" s="1"/>
      <c r="JI351" s="1"/>
      <c r="JJ351" s="1"/>
      <c r="JK351" s="1"/>
      <c r="JL351" s="1"/>
      <c r="JM351" s="1"/>
      <c r="JN351" s="1"/>
      <c r="JO351" s="1"/>
      <c r="JP351" s="1"/>
      <c r="JQ351" s="1"/>
      <c r="JR351" s="1"/>
      <c r="JS351" s="1"/>
      <c r="JT351" s="1"/>
      <c r="JU351" s="1"/>
      <c r="JV351" s="1"/>
    </row>
    <row r="352" spans="1:28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  <c r="IY352" s="1"/>
      <c r="IZ352" s="1"/>
      <c r="JA352" s="1"/>
      <c r="JB352" s="1"/>
      <c r="JC352" s="1"/>
      <c r="JD352" s="1"/>
      <c r="JE352" s="1"/>
      <c r="JF352" s="1"/>
      <c r="JG352" s="1"/>
      <c r="JH352" s="1"/>
      <c r="JI352" s="1"/>
      <c r="JJ352" s="1"/>
      <c r="JK352" s="1"/>
      <c r="JL352" s="1"/>
      <c r="JM352" s="1"/>
      <c r="JN352" s="1"/>
      <c r="JO352" s="1"/>
      <c r="JP352" s="1"/>
      <c r="JQ352" s="1"/>
      <c r="JR352" s="1"/>
      <c r="JS352" s="1"/>
      <c r="JT352" s="1"/>
      <c r="JU352" s="1"/>
      <c r="JV352" s="1"/>
    </row>
    <row r="353" spans="1:28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  <c r="IY353" s="1"/>
      <c r="IZ353" s="1"/>
      <c r="JA353" s="1"/>
      <c r="JB353" s="1"/>
      <c r="JC353" s="1"/>
      <c r="JD353" s="1"/>
      <c r="JE353" s="1"/>
      <c r="JF353" s="1"/>
      <c r="JG353" s="1"/>
      <c r="JH353" s="1"/>
      <c r="JI353" s="1"/>
      <c r="JJ353" s="1"/>
      <c r="JK353" s="1"/>
      <c r="JL353" s="1"/>
      <c r="JM353" s="1"/>
      <c r="JN353" s="1"/>
      <c r="JO353" s="1"/>
      <c r="JP353" s="1"/>
      <c r="JQ353" s="1"/>
      <c r="JR353" s="1"/>
      <c r="JS353" s="1"/>
      <c r="JT353" s="1"/>
      <c r="JU353" s="1"/>
      <c r="JV353" s="1"/>
    </row>
    <row r="354" spans="1:28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  <c r="IY354" s="1"/>
      <c r="IZ354" s="1"/>
      <c r="JA354" s="1"/>
      <c r="JB354" s="1"/>
      <c r="JC354" s="1"/>
      <c r="JD354" s="1"/>
      <c r="JE354" s="1"/>
      <c r="JF354" s="1"/>
      <c r="JG354" s="1"/>
      <c r="JH354" s="1"/>
      <c r="JI354" s="1"/>
      <c r="JJ354" s="1"/>
      <c r="JK354" s="1"/>
      <c r="JL354" s="1"/>
      <c r="JM354" s="1"/>
      <c r="JN354" s="1"/>
      <c r="JO354" s="1"/>
      <c r="JP354" s="1"/>
      <c r="JQ354" s="1"/>
      <c r="JR354" s="1"/>
      <c r="JS354" s="1"/>
      <c r="JT354" s="1"/>
      <c r="JU354" s="1"/>
      <c r="JV354" s="1"/>
    </row>
    <row r="355" spans="1:28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  <c r="IY355" s="1"/>
      <c r="IZ355" s="1"/>
      <c r="JA355" s="1"/>
      <c r="JB355" s="1"/>
      <c r="JC355" s="1"/>
      <c r="JD355" s="1"/>
      <c r="JE355" s="1"/>
      <c r="JF355" s="1"/>
      <c r="JG355" s="1"/>
      <c r="JH355" s="1"/>
      <c r="JI355" s="1"/>
      <c r="JJ355" s="1"/>
      <c r="JK355" s="1"/>
      <c r="JL355" s="1"/>
      <c r="JM355" s="1"/>
      <c r="JN355" s="1"/>
      <c r="JO355" s="1"/>
      <c r="JP355" s="1"/>
      <c r="JQ355" s="1"/>
      <c r="JR355" s="1"/>
      <c r="JS355" s="1"/>
      <c r="JT355" s="1"/>
      <c r="JU355" s="1"/>
      <c r="JV355" s="1"/>
    </row>
    <row r="356" spans="1:28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  <c r="IY356" s="1"/>
      <c r="IZ356" s="1"/>
      <c r="JA356" s="1"/>
      <c r="JB356" s="1"/>
      <c r="JC356" s="1"/>
      <c r="JD356" s="1"/>
      <c r="JE356" s="1"/>
      <c r="JF356" s="1"/>
      <c r="JG356" s="1"/>
      <c r="JH356" s="1"/>
      <c r="JI356" s="1"/>
      <c r="JJ356" s="1"/>
      <c r="JK356" s="1"/>
      <c r="JL356" s="1"/>
      <c r="JM356" s="1"/>
      <c r="JN356" s="1"/>
      <c r="JO356" s="1"/>
      <c r="JP356" s="1"/>
      <c r="JQ356" s="1"/>
      <c r="JR356" s="1"/>
      <c r="JS356" s="1"/>
      <c r="JT356" s="1"/>
      <c r="JU356" s="1"/>
      <c r="JV356" s="1"/>
    </row>
    <row r="357" spans="1:28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  <c r="IY357" s="1"/>
      <c r="IZ357" s="1"/>
      <c r="JA357" s="1"/>
      <c r="JB357" s="1"/>
      <c r="JC357" s="1"/>
      <c r="JD357" s="1"/>
      <c r="JE357" s="1"/>
      <c r="JF357" s="1"/>
      <c r="JG357" s="1"/>
      <c r="JH357" s="1"/>
      <c r="JI357" s="1"/>
      <c r="JJ357" s="1"/>
      <c r="JK357" s="1"/>
      <c r="JL357" s="1"/>
      <c r="JM357" s="1"/>
      <c r="JN357" s="1"/>
      <c r="JO357" s="1"/>
      <c r="JP357" s="1"/>
      <c r="JQ357" s="1"/>
      <c r="JR357" s="1"/>
      <c r="JS357" s="1"/>
      <c r="JT357" s="1"/>
      <c r="JU357" s="1"/>
      <c r="JV357" s="1"/>
    </row>
    <row r="358" spans="1:28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  <c r="IY358" s="1"/>
      <c r="IZ358" s="1"/>
      <c r="JA358" s="1"/>
      <c r="JB358" s="1"/>
      <c r="JC358" s="1"/>
      <c r="JD358" s="1"/>
      <c r="JE358" s="1"/>
      <c r="JF358" s="1"/>
      <c r="JG358" s="1"/>
      <c r="JH358" s="1"/>
      <c r="JI358" s="1"/>
      <c r="JJ358" s="1"/>
      <c r="JK358" s="1"/>
      <c r="JL358" s="1"/>
      <c r="JM358" s="1"/>
      <c r="JN358" s="1"/>
      <c r="JO358" s="1"/>
      <c r="JP358" s="1"/>
      <c r="JQ358" s="1"/>
      <c r="JR358" s="1"/>
      <c r="JS358" s="1"/>
      <c r="JT358" s="1"/>
      <c r="JU358" s="1"/>
      <c r="JV358" s="1"/>
    </row>
    <row r="359" spans="1:28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  <c r="IY359" s="1"/>
      <c r="IZ359" s="1"/>
      <c r="JA359" s="1"/>
      <c r="JB359" s="1"/>
      <c r="JC359" s="1"/>
      <c r="JD359" s="1"/>
      <c r="JE359" s="1"/>
      <c r="JF359" s="1"/>
      <c r="JG359" s="1"/>
      <c r="JH359" s="1"/>
      <c r="JI359" s="1"/>
      <c r="JJ359" s="1"/>
      <c r="JK359" s="1"/>
      <c r="JL359" s="1"/>
      <c r="JM359" s="1"/>
      <c r="JN359" s="1"/>
      <c r="JO359" s="1"/>
      <c r="JP359" s="1"/>
      <c r="JQ359" s="1"/>
      <c r="JR359" s="1"/>
      <c r="JS359" s="1"/>
      <c r="JT359" s="1"/>
      <c r="JU359" s="1"/>
      <c r="JV359" s="1"/>
    </row>
    <row r="360" spans="1:28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  <c r="IY360" s="1"/>
      <c r="IZ360" s="1"/>
      <c r="JA360" s="1"/>
      <c r="JB360" s="1"/>
      <c r="JC360" s="1"/>
      <c r="JD360" s="1"/>
      <c r="JE360" s="1"/>
      <c r="JF360" s="1"/>
      <c r="JG360" s="1"/>
      <c r="JH360" s="1"/>
      <c r="JI360" s="1"/>
      <c r="JJ360" s="1"/>
      <c r="JK360" s="1"/>
      <c r="JL360" s="1"/>
      <c r="JM360" s="1"/>
      <c r="JN360" s="1"/>
      <c r="JO360" s="1"/>
      <c r="JP360" s="1"/>
      <c r="JQ360" s="1"/>
      <c r="JR360" s="1"/>
      <c r="JS360" s="1"/>
      <c r="JT360" s="1"/>
      <c r="JU360" s="1"/>
      <c r="JV360" s="1"/>
    </row>
    <row r="361" spans="1:28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  <c r="IY361" s="1"/>
      <c r="IZ361" s="1"/>
      <c r="JA361" s="1"/>
      <c r="JB361" s="1"/>
      <c r="JC361" s="1"/>
      <c r="JD361" s="1"/>
      <c r="JE361" s="1"/>
      <c r="JF361" s="1"/>
      <c r="JG361" s="1"/>
      <c r="JH361" s="1"/>
      <c r="JI361" s="1"/>
      <c r="JJ361" s="1"/>
      <c r="JK361" s="1"/>
      <c r="JL361" s="1"/>
      <c r="JM361" s="1"/>
      <c r="JN361" s="1"/>
      <c r="JO361" s="1"/>
      <c r="JP361" s="1"/>
      <c r="JQ361" s="1"/>
      <c r="JR361" s="1"/>
      <c r="JS361" s="1"/>
      <c r="JT361" s="1"/>
      <c r="JU361" s="1"/>
      <c r="JV361" s="1"/>
    </row>
    <row r="362" spans="1:28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  <c r="IY362" s="1"/>
      <c r="IZ362" s="1"/>
      <c r="JA362" s="1"/>
      <c r="JB362" s="1"/>
      <c r="JC362" s="1"/>
      <c r="JD362" s="1"/>
      <c r="JE362" s="1"/>
      <c r="JF362" s="1"/>
      <c r="JG362" s="1"/>
      <c r="JH362" s="1"/>
      <c r="JI362" s="1"/>
      <c r="JJ362" s="1"/>
      <c r="JK362" s="1"/>
      <c r="JL362" s="1"/>
      <c r="JM362" s="1"/>
      <c r="JN362" s="1"/>
      <c r="JO362" s="1"/>
      <c r="JP362" s="1"/>
      <c r="JQ362" s="1"/>
      <c r="JR362" s="1"/>
      <c r="JS362" s="1"/>
      <c r="JT362" s="1"/>
      <c r="JU362" s="1"/>
      <c r="JV362" s="1"/>
    </row>
    <row r="363" spans="1:28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  <c r="IY363" s="1"/>
      <c r="IZ363" s="1"/>
      <c r="JA363" s="1"/>
      <c r="JB363" s="1"/>
      <c r="JC363" s="1"/>
      <c r="JD363" s="1"/>
      <c r="JE363" s="1"/>
      <c r="JF363" s="1"/>
      <c r="JG363" s="1"/>
      <c r="JH363" s="1"/>
      <c r="JI363" s="1"/>
      <c r="JJ363" s="1"/>
      <c r="JK363" s="1"/>
      <c r="JL363" s="1"/>
      <c r="JM363" s="1"/>
      <c r="JN363" s="1"/>
      <c r="JO363" s="1"/>
      <c r="JP363" s="1"/>
      <c r="JQ363" s="1"/>
      <c r="JR363" s="1"/>
      <c r="JS363" s="1"/>
      <c r="JT363" s="1"/>
      <c r="JU363" s="1"/>
      <c r="JV363" s="1"/>
    </row>
    <row r="364" spans="1:28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  <c r="IZ364" s="1"/>
      <c r="JA364" s="1"/>
      <c r="JB364" s="1"/>
      <c r="JC364" s="1"/>
      <c r="JD364" s="1"/>
      <c r="JE364" s="1"/>
      <c r="JF364" s="1"/>
      <c r="JG364" s="1"/>
      <c r="JH364" s="1"/>
      <c r="JI364" s="1"/>
      <c r="JJ364" s="1"/>
      <c r="JK364" s="1"/>
      <c r="JL364" s="1"/>
      <c r="JM364" s="1"/>
      <c r="JN364" s="1"/>
      <c r="JO364" s="1"/>
      <c r="JP364" s="1"/>
      <c r="JQ364" s="1"/>
      <c r="JR364" s="1"/>
      <c r="JS364" s="1"/>
      <c r="JT364" s="1"/>
      <c r="JU364" s="1"/>
      <c r="JV364" s="1"/>
    </row>
    <row r="365" spans="1:28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  <c r="IZ365" s="1"/>
      <c r="JA365" s="1"/>
      <c r="JB365" s="1"/>
      <c r="JC365" s="1"/>
      <c r="JD365" s="1"/>
      <c r="JE365" s="1"/>
      <c r="JF365" s="1"/>
      <c r="JG365" s="1"/>
      <c r="JH365" s="1"/>
      <c r="JI365" s="1"/>
      <c r="JJ365" s="1"/>
      <c r="JK365" s="1"/>
      <c r="JL365" s="1"/>
      <c r="JM365" s="1"/>
      <c r="JN365" s="1"/>
      <c r="JO365" s="1"/>
      <c r="JP365" s="1"/>
      <c r="JQ365" s="1"/>
      <c r="JR365" s="1"/>
      <c r="JS365" s="1"/>
      <c r="JT365" s="1"/>
      <c r="JU365" s="1"/>
      <c r="JV365" s="1"/>
    </row>
    <row r="366" spans="1:28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  <c r="IZ366" s="1"/>
      <c r="JA366" s="1"/>
      <c r="JB366" s="1"/>
      <c r="JC366" s="1"/>
      <c r="JD366" s="1"/>
      <c r="JE366" s="1"/>
      <c r="JF366" s="1"/>
      <c r="JG366" s="1"/>
      <c r="JH366" s="1"/>
      <c r="JI366" s="1"/>
      <c r="JJ366" s="1"/>
      <c r="JK366" s="1"/>
      <c r="JL366" s="1"/>
      <c r="JM366" s="1"/>
      <c r="JN366" s="1"/>
      <c r="JO366" s="1"/>
      <c r="JP366" s="1"/>
      <c r="JQ366" s="1"/>
      <c r="JR366" s="1"/>
      <c r="JS366" s="1"/>
      <c r="JT366" s="1"/>
      <c r="JU366" s="1"/>
      <c r="JV366" s="1"/>
    </row>
    <row r="367" spans="1:28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  <c r="IZ367" s="1"/>
      <c r="JA367" s="1"/>
      <c r="JB367" s="1"/>
      <c r="JC367" s="1"/>
      <c r="JD367" s="1"/>
      <c r="JE367" s="1"/>
      <c r="JF367" s="1"/>
      <c r="JG367" s="1"/>
      <c r="JH367" s="1"/>
      <c r="JI367" s="1"/>
      <c r="JJ367" s="1"/>
      <c r="JK367" s="1"/>
      <c r="JL367" s="1"/>
      <c r="JM367" s="1"/>
      <c r="JN367" s="1"/>
      <c r="JO367" s="1"/>
      <c r="JP367" s="1"/>
      <c r="JQ367" s="1"/>
      <c r="JR367" s="1"/>
      <c r="JS367" s="1"/>
      <c r="JT367" s="1"/>
      <c r="JU367" s="1"/>
      <c r="JV367" s="1"/>
    </row>
    <row r="368" spans="1:28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  <c r="IZ368" s="1"/>
      <c r="JA368" s="1"/>
      <c r="JB368" s="1"/>
      <c r="JC368" s="1"/>
      <c r="JD368" s="1"/>
      <c r="JE368" s="1"/>
      <c r="JF368" s="1"/>
      <c r="JG368" s="1"/>
      <c r="JH368" s="1"/>
      <c r="JI368" s="1"/>
      <c r="JJ368" s="1"/>
      <c r="JK368" s="1"/>
      <c r="JL368" s="1"/>
      <c r="JM368" s="1"/>
      <c r="JN368" s="1"/>
      <c r="JO368" s="1"/>
      <c r="JP368" s="1"/>
      <c r="JQ368" s="1"/>
      <c r="JR368" s="1"/>
      <c r="JS368" s="1"/>
      <c r="JT368" s="1"/>
      <c r="JU368" s="1"/>
      <c r="JV368" s="1"/>
    </row>
    <row r="369" spans="1:28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  <c r="IZ369" s="1"/>
      <c r="JA369" s="1"/>
      <c r="JB369" s="1"/>
      <c r="JC369" s="1"/>
      <c r="JD369" s="1"/>
      <c r="JE369" s="1"/>
      <c r="JF369" s="1"/>
      <c r="JG369" s="1"/>
      <c r="JH369" s="1"/>
      <c r="JI369" s="1"/>
      <c r="JJ369" s="1"/>
      <c r="JK369" s="1"/>
      <c r="JL369" s="1"/>
      <c r="JM369" s="1"/>
      <c r="JN369" s="1"/>
      <c r="JO369" s="1"/>
      <c r="JP369" s="1"/>
      <c r="JQ369" s="1"/>
      <c r="JR369" s="1"/>
      <c r="JS369" s="1"/>
      <c r="JT369" s="1"/>
      <c r="JU369" s="1"/>
      <c r="JV369" s="1"/>
    </row>
    <row r="370" spans="1:28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  <c r="IZ370" s="1"/>
      <c r="JA370" s="1"/>
      <c r="JB370" s="1"/>
      <c r="JC370" s="1"/>
      <c r="JD370" s="1"/>
      <c r="JE370" s="1"/>
      <c r="JF370" s="1"/>
      <c r="JG370" s="1"/>
      <c r="JH370" s="1"/>
      <c r="JI370" s="1"/>
      <c r="JJ370" s="1"/>
      <c r="JK370" s="1"/>
      <c r="JL370" s="1"/>
      <c r="JM370" s="1"/>
      <c r="JN370" s="1"/>
      <c r="JO370" s="1"/>
      <c r="JP370" s="1"/>
      <c r="JQ370" s="1"/>
      <c r="JR370" s="1"/>
      <c r="JS370" s="1"/>
      <c r="JT370" s="1"/>
      <c r="JU370" s="1"/>
      <c r="JV370" s="1"/>
    </row>
    <row r="371" spans="1:28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  <c r="IZ371" s="1"/>
      <c r="JA371" s="1"/>
      <c r="JB371" s="1"/>
      <c r="JC371" s="1"/>
      <c r="JD371" s="1"/>
      <c r="JE371" s="1"/>
      <c r="JF371" s="1"/>
      <c r="JG371" s="1"/>
      <c r="JH371" s="1"/>
      <c r="JI371" s="1"/>
      <c r="JJ371" s="1"/>
      <c r="JK371" s="1"/>
      <c r="JL371" s="1"/>
      <c r="JM371" s="1"/>
      <c r="JN371" s="1"/>
      <c r="JO371" s="1"/>
      <c r="JP371" s="1"/>
      <c r="JQ371" s="1"/>
      <c r="JR371" s="1"/>
      <c r="JS371" s="1"/>
      <c r="JT371" s="1"/>
      <c r="JU371" s="1"/>
      <c r="JV371" s="1"/>
    </row>
    <row r="372" spans="1:28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  <c r="IZ372" s="1"/>
      <c r="JA372" s="1"/>
      <c r="JB372" s="1"/>
      <c r="JC372" s="1"/>
      <c r="JD372" s="1"/>
      <c r="JE372" s="1"/>
      <c r="JF372" s="1"/>
      <c r="JG372" s="1"/>
      <c r="JH372" s="1"/>
      <c r="JI372" s="1"/>
      <c r="JJ372" s="1"/>
      <c r="JK372" s="1"/>
      <c r="JL372" s="1"/>
      <c r="JM372" s="1"/>
      <c r="JN372" s="1"/>
      <c r="JO372" s="1"/>
      <c r="JP372" s="1"/>
      <c r="JQ372" s="1"/>
      <c r="JR372" s="1"/>
      <c r="JS372" s="1"/>
      <c r="JT372" s="1"/>
      <c r="JU372" s="1"/>
      <c r="JV372" s="1"/>
    </row>
    <row r="373" spans="1:28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  <c r="IZ373" s="1"/>
      <c r="JA373" s="1"/>
      <c r="JB373" s="1"/>
      <c r="JC373" s="1"/>
      <c r="JD373" s="1"/>
      <c r="JE373" s="1"/>
      <c r="JF373" s="1"/>
      <c r="JG373" s="1"/>
      <c r="JH373" s="1"/>
      <c r="JI373" s="1"/>
      <c r="JJ373" s="1"/>
      <c r="JK373" s="1"/>
      <c r="JL373" s="1"/>
      <c r="JM373" s="1"/>
      <c r="JN373" s="1"/>
      <c r="JO373" s="1"/>
      <c r="JP373" s="1"/>
      <c r="JQ373" s="1"/>
      <c r="JR373" s="1"/>
      <c r="JS373" s="1"/>
      <c r="JT373" s="1"/>
      <c r="JU373" s="1"/>
      <c r="JV373" s="1"/>
    </row>
    <row r="374" spans="1:28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  <c r="IZ374" s="1"/>
      <c r="JA374" s="1"/>
      <c r="JB374" s="1"/>
      <c r="JC374" s="1"/>
      <c r="JD374" s="1"/>
      <c r="JE374" s="1"/>
      <c r="JF374" s="1"/>
      <c r="JG374" s="1"/>
      <c r="JH374" s="1"/>
      <c r="JI374" s="1"/>
      <c r="JJ374" s="1"/>
      <c r="JK374" s="1"/>
      <c r="JL374" s="1"/>
      <c r="JM374" s="1"/>
      <c r="JN374" s="1"/>
      <c r="JO374" s="1"/>
      <c r="JP374" s="1"/>
      <c r="JQ374" s="1"/>
      <c r="JR374" s="1"/>
      <c r="JS374" s="1"/>
      <c r="JT374" s="1"/>
      <c r="JU374" s="1"/>
      <c r="JV374" s="1"/>
    </row>
    <row r="375" spans="1:28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  <c r="IZ375" s="1"/>
      <c r="JA375" s="1"/>
      <c r="JB375" s="1"/>
      <c r="JC375" s="1"/>
      <c r="JD375" s="1"/>
      <c r="JE375" s="1"/>
      <c r="JF375" s="1"/>
      <c r="JG375" s="1"/>
      <c r="JH375" s="1"/>
      <c r="JI375" s="1"/>
      <c r="JJ375" s="1"/>
      <c r="JK375" s="1"/>
      <c r="JL375" s="1"/>
      <c r="JM375" s="1"/>
      <c r="JN375" s="1"/>
      <c r="JO375" s="1"/>
      <c r="JP375" s="1"/>
      <c r="JQ375" s="1"/>
      <c r="JR375" s="1"/>
      <c r="JS375" s="1"/>
      <c r="JT375" s="1"/>
      <c r="JU375" s="1"/>
      <c r="JV375" s="1"/>
    </row>
    <row r="376" spans="1:28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  <c r="IZ376" s="1"/>
      <c r="JA376" s="1"/>
      <c r="JB376" s="1"/>
      <c r="JC376" s="1"/>
      <c r="JD376" s="1"/>
      <c r="JE376" s="1"/>
      <c r="JF376" s="1"/>
      <c r="JG376" s="1"/>
      <c r="JH376" s="1"/>
      <c r="JI376" s="1"/>
      <c r="JJ376" s="1"/>
      <c r="JK376" s="1"/>
      <c r="JL376" s="1"/>
      <c r="JM376" s="1"/>
      <c r="JN376" s="1"/>
      <c r="JO376" s="1"/>
      <c r="JP376" s="1"/>
      <c r="JQ376" s="1"/>
      <c r="JR376" s="1"/>
      <c r="JS376" s="1"/>
      <c r="JT376" s="1"/>
      <c r="JU376" s="1"/>
      <c r="JV376" s="1"/>
    </row>
    <row r="377" spans="1:28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  <c r="IZ377" s="1"/>
      <c r="JA377" s="1"/>
      <c r="JB377" s="1"/>
      <c r="JC377" s="1"/>
      <c r="JD377" s="1"/>
      <c r="JE377" s="1"/>
      <c r="JF377" s="1"/>
      <c r="JG377" s="1"/>
      <c r="JH377" s="1"/>
      <c r="JI377" s="1"/>
      <c r="JJ377" s="1"/>
      <c r="JK377" s="1"/>
      <c r="JL377" s="1"/>
      <c r="JM377" s="1"/>
      <c r="JN377" s="1"/>
      <c r="JO377" s="1"/>
      <c r="JP377" s="1"/>
      <c r="JQ377" s="1"/>
      <c r="JR377" s="1"/>
      <c r="JS377" s="1"/>
      <c r="JT377" s="1"/>
      <c r="JU377" s="1"/>
      <c r="JV377" s="1"/>
    </row>
    <row r="378" spans="1:28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  <c r="IZ378" s="1"/>
      <c r="JA378" s="1"/>
      <c r="JB378" s="1"/>
      <c r="JC378" s="1"/>
      <c r="JD378" s="1"/>
      <c r="JE378" s="1"/>
      <c r="JF378" s="1"/>
      <c r="JG378" s="1"/>
      <c r="JH378" s="1"/>
      <c r="JI378" s="1"/>
      <c r="JJ378" s="1"/>
      <c r="JK378" s="1"/>
      <c r="JL378" s="1"/>
      <c r="JM378" s="1"/>
      <c r="JN378" s="1"/>
      <c r="JO378" s="1"/>
      <c r="JP378" s="1"/>
      <c r="JQ378" s="1"/>
      <c r="JR378" s="1"/>
      <c r="JS378" s="1"/>
      <c r="JT378" s="1"/>
      <c r="JU378" s="1"/>
      <c r="JV378" s="1"/>
    </row>
    <row r="379" spans="1:28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  <c r="IZ379" s="1"/>
      <c r="JA379" s="1"/>
      <c r="JB379" s="1"/>
      <c r="JC379" s="1"/>
      <c r="JD379" s="1"/>
      <c r="JE379" s="1"/>
      <c r="JF379" s="1"/>
      <c r="JG379" s="1"/>
      <c r="JH379" s="1"/>
      <c r="JI379" s="1"/>
      <c r="JJ379" s="1"/>
      <c r="JK379" s="1"/>
      <c r="JL379" s="1"/>
      <c r="JM379" s="1"/>
      <c r="JN379" s="1"/>
      <c r="JO379" s="1"/>
      <c r="JP379" s="1"/>
      <c r="JQ379" s="1"/>
      <c r="JR379" s="1"/>
      <c r="JS379" s="1"/>
      <c r="JT379" s="1"/>
      <c r="JU379" s="1"/>
      <c r="JV379" s="1"/>
    </row>
    <row r="380" spans="1:28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  <c r="IZ380" s="1"/>
      <c r="JA380" s="1"/>
      <c r="JB380" s="1"/>
      <c r="JC380" s="1"/>
      <c r="JD380" s="1"/>
      <c r="JE380" s="1"/>
      <c r="JF380" s="1"/>
      <c r="JG380" s="1"/>
      <c r="JH380" s="1"/>
      <c r="JI380" s="1"/>
      <c r="JJ380" s="1"/>
      <c r="JK380" s="1"/>
      <c r="JL380" s="1"/>
      <c r="JM380" s="1"/>
      <c r="JN380" s="1"/>
      <c r="JO380" s="1"/>
      <c r="JP380" s="1"/>
      <c r="JQ380" s="1"/>
      <c r="JR380" s="1"/>
      <c r="JS380" s="1"/>
      <c r="JT380" s="1"/>
      <c r="JU380" s="1"/>
      <c r="JV380" s="1"/>
    </row>
    <row r="381" spans="1:28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  <c r="IZ381" s="1"/>
      <c r="JA381" s="1"/>
      <c r="JB381" s="1"/>
      <c r="JC381" s="1"/>
      <c r="JD381" s="1"/>
      <c r="JE381" s="1"/>
      <c r="JF381" s="1"/>
      <c r="JG381" s="1"/>
      <c r="JH381" s="1"/>
      <c r="JI381" s="1"/>
      <c r="JJ381" s="1"/>
      <c r="JK381" s="1"/>
      <c r="JL381" s="1"/>
      <c r="JM381" s="1"/>
      <c r="JN381" s="1"/>
      <c r="JO381" s="1"/>
      <c r="JP381" s="1"/>
      <c r="JQ381" s="1"/>
      <c r="JR381" s="1"/>
      <c r="JS381" s="1"/>
      <c r="JT381" s="1"/>
      <c r="JU381" s="1"/>
      <c r="JV381" s="1"/>
    </row>
    <row r="382" spans="1:28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  <c r="JS382" s="1"/>
      <c r="JT382" s="1"/>
      <c r="JU382" s="1"/>
      <c r="JV382" s="1"/>
    </row>
    <row r="383" spans="1:28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  <c r="JS383" s="1"/>
      <c r="JT383" s="1"/>
      <c r="JU383" s="1"/>
      <c r="JV383" s="1"/>
    </row>
    <row r="384" spans="1:28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  <c r="JT384" s="1"/>
      <c r="JU384" s="1"/>
      <c r="JV384" s="1"/>
    </row>
    <row r="385" spans="1:28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  <c r="JT385" s="1"/>
      <c r="JU385" s="1"/>
      <c r="JV385" s="1"/>
    </row>
    <row r="386" spans="1:28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  <c r="JT386" s="1"/>
      <c r="JU386" s="1"/>
      <c r="JV386" s="1"/>
    </row>
    <row r="387" spans="1:28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  <c r="JT387" s="1"/>
      <c r="JU387" s="1"/>
      <c r="JV387" s="1"/>
    </row>
    <row r="388" spans="1:28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  <c r="JT388" s="1"/>
      <c r="JU388" s="1"/>
      <c r="JV388" s="1"/>
    </row>
    <row r="389" spans="1:28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  <c r="JU389" s="1"/>
      <c r="JV389" s="1"/>
    </row>
    <row r="390" spans="1:28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  <c r="JU390" s="1"/>
      <c r="JV390" s="1"/>
    </row>
    <row r="391" spans="1:28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  <c r="JU391" s="1"/>
      <c r="JV391" s="1"/>
    </row>
    <row r="392" spans="1:28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  <c r="JU392" s="1"/>
      <c r="JV392" s="1"/>
    </row>
    <row r="393" spans="1:28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  <c r="JU393" s="1"/>
      <c r="JV393" s="1"/>
    </row>
    <row r="394" spans="1:28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  <c r="JU394" s="1"/>
      <c r="JV394" s="1"/>
    </row>
    <row r="395" spans="1:28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  <c r="JV395" s="1"/>
    </row>
    <row r="396" spans="1:28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  <c r="JV396" s="1"/>
    </row>
    <row r="397" spans="1:28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  <c r="JV397" s="1"/>
    </row>
    <row r="398" spans="1:28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  <c r="JV398" s="1"/>
    </row>
    <row r="399" spans="1:28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  <c r="JV399" s="1"/>
    </row>
    <row r="400" spans="1:28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  <c r="JV400" s="1"/>
    </row>
    <row r="401" spans="1:28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</row>
    <row r="402" spans="1:28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</row>
    <row r="403" spans="1:28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</row>
    <row r="404" spans="1:28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</row>
    <row r="405" spans="1:28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</row>
    <row r="406" spans="1:28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</row>
    <row r="407" spans="1:28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</row>
    <row r="408" spans="1:28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</row>
    <row r="409" spans="1:28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</row>
    <row r="410" spans="1:28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</row>
    <row r="411" spans="1:28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</row>
    <row r="412" spans="1:28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</row>
    <row r="413" spans="1:28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</row>
    <row r="414" spans="1:28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</row>
    <row r="415" spans="1:28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</row>
    <row r="416" spans="1:28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</sheetData>
  <mergeCells count="1">
    <mergeCell ref="A1:H1"/>
  </mergeCells>
  <phoneticPr fontId="3" type="noConversion"/>
  <conditionalFormatting sqref="D8">
    <cfRule type="containsText" dxfId="19" priority="9" stopIfTrue="1" operator="containsText" text="On Hold">
      <formula>NOT(ISERROR(SEARCH("On Hold",D8)))</formula>
    </cfRule>
    <cfRule type="containsText" dxfId="18" priority="10" operator="containsText" text="Complete">
      <formula>NOT(ISERROR(SEARCH("Complete",D8)))</formula>
    </cfRule>
    <cfRule type="containsText" dxfId="17" priority="11" operator="containsText" text="In Progress">
      <formula>NOT(ISERROR(SEARCH("In Progress",D8)))</formula>
    </cfRule>
    <cfRule type="containsText" dxfId="16" priority="12" operator="containsText" text="Not Started">
      <formula>NOT(ISERROR(SEARCH("Not Started",D8)))</formula>
    </cfRule>
  </conditionalFormatting>
  <conditionalFormatting sqref="D9:D52">
    <cfRule type="cellIs" dxfId="15" priority="13" operator="equal">
      <formula>"En Espera"</formula>
    </cfRule>
    <cfRule type="cellIs" dxfId="14" priority="14" operator="equal">
      <formula>"En Progreso"</formula>
    </cfRule>
    <cfRule type="cellIs" dxfId="13" priority="15" operator="equal">
      <formula>"No Iniciado"</formula>
    </cfRule>
    <cfRule type="cellIs" dxfId="12" priority="16" operator="equal">
      <formula>"Completo"</formula>
    </cfRule>
    <cfRule type="containsText" dxfId="11" priority="49" operator="containsText" text="On Hold">
      <formula>NOT(ISERROR(SEARCH("On Hold",D9)))</formula>
    </cfRule>
    <cfRule type="containsText" dxfId="10" priority="50" operator="containsText" text="Complete">
      <formula>NOT(ISERROR(SEARCH("Complete",D9)))</formula>
    </cfRule>
    <cfRule type="containsText" dxfId="9" priority="51" operator="containsText" text="In Progress">
      <formula>NOT(ISERROR(SEARCH("In Progress",D9)))</formula>
    </cfRule>
    <cfRule type="containsText" dxfId="8" priority="52" operator="containsText" text="Not Started">
      <formula>NOT(ISERROR(SEARCH("Not Started",D9)))</formula>
    </cfRule>
  </conditionalFormatting>
  <conditionalFormatting sqref="K8:K11">
    <cfRule type="containsText" dxfId="7" priority="1" stopIfTrue="1" operator="containsText" text="On Hold">
      <formula>NOT(ISERROR(SEARCH("On Hold",K8)))</formula>
    </cfRule>
    <cfRule type="containsText" dxfId="6" priority="2" operator="containsText" text="Complete">
      <formula>NOT(ISERROR(SEARCH("Complete",K8)))</formula>
    </cfRule>
    <cfRule type="containsText" dxfId="5" priority="3" operator="containsText" text="In Progress">
      <formula>NOT(ISERROR(SEARCH("In Progress",K8)))</formula>
    </cfRule>
    <cfRule type="containsText" dxfId="4" priority="4" operator="containsText" text="Not Started">
      <formula>NOT(ISERROR(SEARCH("Not Started",K8)))</formula>
    </cfRule>
  </conditionalFormatting>
  <conditionalFormatting sqref="K16">
    <cfRule type="containsText" dxfId="3" priority="61" stopIfTrue="1" operator="containsText" text="On Hold">
      <formula>NOT(ISERROR(SEARCH("On Hold",K16)))</formula>
    </cfRule>
    <cfRule type="containsText" dxfId="2" priority="62" operator="containsText" text="Complete">
      <formula>NOT(ISERROR(SEARCH("Complete",K16)))</formula>
    </cfRule>
    <cfRule type="containsText" dxfId="1" priority="63" operator="containsText" text="In Progress">
      <formula>NOT(ISERROR(SEARCH("In Progress",K16)))</formula>
    </cfRule>
    <cfRule type="containsText" dxfId="0" priority="64" operator="containsText" text="Not Started">
      <formula>NOT(ISERROR(SEARCH("Not Started",K16)))</formula>
    </cfRule>
  </conditionalFormatting>
  <dataValidations count="1">
    <dataValidation type="list" allowBlank="1" showInputMessage="1" showErrorMessage="1" sqref="D9:D52" xr:uid="{00000000-0002-0000-0000-000000000000}">
      <formula1>$K$8:$K$15</formula1>
    </dataValidation>
  </dataValidations>
  <pageMargins left="0.3" right="0.3" top="0.3" bottom="0.3" header="0" footer="0"/>
  <pageSetup scale="70" fitToHeight="0" orientation="landscape" horizontalDpi="4294967292" vertic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PROYECTO SOFTWARE ARDUINO CUBO </vt:lpstr>
      <vt:lpstr>'PROYECTO SOFTWARE ARDUINO CUBO '!Área_de_impresión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JHON EMERSON  PEREZ RAMIREZ</cp:lastModifiedBy>
  <dcterms:created xsi:type="dcterms:W3CDTF">2015-02-24T20:54:23Z</dcterms:created>
  <dcterms:modified xsi:type="dcterms:W3CDTF">2026-03-29T00:45:53Z</dcterms:modified>
</cp:coreProperties>
</file>