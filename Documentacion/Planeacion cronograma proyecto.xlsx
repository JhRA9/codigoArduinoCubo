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onys\OneDrive\Documentos\Tareas\Gestion de proyectos\Proyecto\Documentacion\"/>
    </mc:Choice>
  </mc:AlternateContent>
  <xr:revisionPtr revIDLastSave="0" documentId="13_ncr:1_{C5F8579C-DF62-46F7-88AB-C8FE6733CC81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PROYECTO SOFTWARE ARDUINO CUBO " sheetId="1" r:id="rId1"/>
  </sheets>
  <definedNames>
    <definedName name="_xlnm.Print_Area" localSheetId="0">'PROYECTO SOFTWARE ARDUINO CUBO '!$B$1:$I$53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7" i="1" l="1"/>
  <c r="H34" i="1"/>
  <c r="H23" i="1" l="1"/>
  <c r="H43" i="1"/>
  <c r="H18" i="1"/>
  <c r="H19" i="1"/>
  <c r="H20" i="1"/>
  <c r="H21" i="1"/>
  <c r="H22" i="1"/>
  <c r="H17" i="1"/>
  <c r="H16" i="1" l="1"/>
  <c r="H15" i="1"/>
  <c r="H14" i="1"/>
  <c r="H13" i="1"/>
  <c r="H12" i="1"/>
  <c r="H11" i="1"/>
  <c r="H10" i="1"/>
  <c r="H9" i="1"/>
  <c r="H8" i="1"/>
  <c r="H5" i="1" l="1"/>
</calcChain>
</file>

<file path=xl/sharedStrings.xml><?xml version="1.0" encoding="utf-8"?>
<sst xmlns="http://schemas.openxmlformats.org/spreadsheetml/2006/main" count="238" uniqueCount="145">
  <si>
    <t>3.2.1</t>
  </si>
  <si>
    <t>3.2.2</t>
  </si>
  <si>
    <t>Concepción e Inicio del Proyecto</t>
  </si>
  <si>
    <t>Definición y Planificación del Proyecto</t>
  </si>
  <si>
    <t>Nombre de la tarea</t>
  </si>
  <si>
    <t>Estado</t>
  </si>
  <si>
    <t>Asignado a</t>
  </si>
  <si>
    <t>Fecha fin</t>
  </si>
  <si>
    <t>Duración (en días)</t>
  </si>
  <si>
    <t>Comentarios</t>
  </si>
  <si>
    <t>Título del Proyecto</t>
  </si>
  <si>
    <t>Gerente del Proyecto</t>
  </si>
  <si>
    <t>Fecha inicio</t>
  </si>
  <si>
    <t>Fecha Fin</t>
  </si>
  <si>
    <t>Duracion del proyecto</t>
  </si>
  <si>
    <t>en dias</t>
  </si>
  <si>
    <t>Completo</t>
  </si>
  <si>
    <t>En progreso</t>
  </si>
  <si>
    <t>No Iniciado</t>
  </si>
  <si>
    <t>En Espera</t>
  </si>
  <si>
    <t>Jhon Perez</t>
  </si>
  <si>
    <t>1.1.1</t>
  </si>
  <si>
    <t>1.1.2</t>
  </si>
  <si>
    <t>1.2.1</t>
  </si>
  <si>
    <t>2.1.1</t>
  </si>
  <si>
    <t>2.1.2</t>
  </si>
  <si>
    <t>3.1.1</t>
  </si>
  <si>
    <t>3.1.2</t>
  </si>
  <si>
    <t>4.1.1</t>
  </si>
  <si>
    <t>4.1.2</t>
  </si>
  <si>
    <t>PROYECTO SOFTWARE ARDUINO CUBO DE LEDS RGB</t>
  </si>
  <si>
    <t>JHON EMERSON PEREZ RAMIREZ</t>
  </si>
  <si>
    <t>Predecesor 1.1.1</t>
  </si>
  <si>
    <t>Predecesor 1.1.2</t>
  </si>
  <si>
    <t>Predecesor 1.2.1</t>
  </si>
  <si>
    <t>Predecesor 2.1.1</t>
  </si>
  <si>
    <t>Predecesor 2.1.2</t>
  </si>
  <si>
    <t>Predecesor 3.1.1</t>
  </si>
  <si>
    <t>Predecesor 3.1.2</t>
  </si>
  <si>
    <t>Predecesor 3.2.2</t>
  </si>
  <si>
    <t>Predecesor 3.2.1</t>
  </si>
  <si>
    <t>Predecesor 4.1.1</t>
  </si>
  <si>
    <t>Inicio del proyecto</t>
  </si>
  <si>
    <t>WBS</t>
  </si>
  <si>
    <t>1.1.3</t>
  </si>
  <si>
    <t>1.1.4</t>
  </si>
  <si>
    <t>Predecesor 1.1.3</t>
  </si>
  <si>
    <t>1.1.5</t>
  </si>
  <si>
    <t>1.1.6</t>
  </si>
  <si>
    <t>Predecesor 1.1.5</t>
  </si>
  <si>
    <t>Predecesor 1.1.6</t>
  </si>
  <si>
    <t>2.1.3</t>
  </si>
  <si>
    <t>2.1.4</t>
  </si>
  <si>
    <t>Predecesor 2.1.3</t>
  </si>
  <si>
    <t>2.1.5</t>
  </si>
  <si>
    <t>Predecesor 2.1.4</t>
  </si>
  <si>
    <t>2.2.1</t>
  </si>
  <si>
    <t>Predecesor 2.1.5</t>
  </si>
  <si>
    <t>No iniciado</t>
  </si>
  <si>
    <t xml:space="preserve">   Predecesor 1.1.4</t>
  </si>
  <si>
    <t>4.1.3</t>
  </si>
  <si>
    <t>Predecesor 4.1.2</t>
  </si>
  <si>
    <t>4.1.4</t>
  </si>
  <si>
    <t>Predecesor 4.1.3</t>
  </si>
  <si>
    <t>Identificar interesados del proyecto</t>
  </si>
  <si>
    <t>Definir objetivo del proyecto</t>
  </si>
  <si>
    <t>Levantar requerimientos del sistema</t>
  </si>
  <si>
    <t>Establecer alcance del proyecto</t>
  </si>
  <si>
    <t>Identificar funcionalidades del software</t>
  </si>
  <si>
    <t>Definir limitaciones tecnicas</t>
  </si>
  <si>
    <t>Analizar memoria y pines del Arduino</t>
  </si>
  <si>
    <t>Elaborar EDT del proyecto</t>
  </si>
  <si>
    <t>Construir cronograma del proyecto</t>
  </si>
  <si>
    <t>Asignar responsables por tarea</t>
  </si>
  <si>
    <t>Estimar recursos necesarios</t>
  </si>
  <si>
    <t>Estimar costos y presupuesto</t>
  </si>
  <si>
    <t>Diseñar flujo general del programa</t>
  </si>
  <si>
    <t>Construir molde de LEDs</t>
  </si>
  <si>
    <t>Construir molde estructural</t>
  </si>
  <si>
    <t>Cortar tramos de alambre</t>
  </si>
  <si>
    <t>3.2.3</t>
  </si>
  <si>
    <t>3.2.4</t>
  </si>
  <si>
    <t>Predecesor 3.2.3</t>
  </si>
  <si>
    <t>3.2.5</t>
  </si>
  <si>
    <t>Predecesor 3.2.4</t>
  </si>
  <si>
    <t>Predecesor 3.2.5</t>
  </si>
  <si>
    <t>Configurar entorno y librerias</t>
  </si>
  <si>
    <t>Configurar comunicacion con LEDs</t>
  </si>
  <si>
    <t>4.1.5</t>
  </si>
  <si>
    <t>Predecesor 4.1.4</t>
  </si>
  <si>
    <t>4.1.6</t>
  </si>
  <si>
    <t>Predecesor 4.1.5</t>
  </si>
  <si>
    <t>4.1.7</t>
  </si>
  <si>
    <t>Predecesor 4.1.6</t>
  </si>
  <si>
    <t>5.1.1</t>
  </si>
  <si>
    <t>Predecesor 4.1.7</t>
  </si>
  <si>
    <t>5.1.2</t>
  </si>
  <si>
    <t>Predecesor 5.1.1</t>
  </si>
  <si>
    <t>5.1.3</t>
  </si>
  <si>
    <t>Predecesor 5.1.2</t>
  </si>
  <si>
    <t>Predecesor 5.1.3</t>
  </si>
  <si>
    <t>Optimizar rendimiento</t>
  </si>
  <si>
    <t>Construccion del Cubo LED</t>
  </si>
  <si>
    <t>Soldar paneles LED (8x8)</t>
  </si>
  <si>
    <t>Soldar linea de datos entre paneles</t>
  </si>
  <si>
    <t>Soldar VCC y GND horizontales</t>
  </si>
  <si>
    <t>Soldar VCC y GND verticales</t>
  </si>
  <si>
    <t>3.2.6</t>
  </si>
  <si>
    <t>Cortar piezas de acrilico</t>
  </si>
  <si>
    <t>3.2.7</t>
  </si>
  <si>
    <t>Montaje del cubo</t>
  </si>
  <si>
    <t>3.2.8</t>
  </si>
  <si>
    <t>Conexion del circuito del cubo</t>
  </si>
  <si>
    <t>Predecesor 3.2.6</t>
  </si>
  <si>
    <t>Predecesor 3.2.7</t>
  </si>
  <si>
    <t>Desarrollo de Software Arduino</t>
  </si>
  <si>
    <t>Programar control individual de LEDs</t>
  </si>
  <si>
    <t>Implementar manejo matricial 3D</t>
  </si>
  <si>
    <t>Programar figuras 3D y 2D</t>
  </si>
  <si>
    <t>Programar animaciones (barrido, expansion, rotacion, capas, lluvia)</t>
  </si>
  <si>
    <t>Pruebas con hardware real</t>
  </si>
  <si>
    <t>4.1.8</t>
  </si>
  <si>
    <t>Cierre sistema Arduino y Cubo</t>
  </si>
  <si>
    <t>Pruebas integradas Arduino + Cubo</t>
  </si>
  <si>
    <t>Predecesor 3.2.8</t>
  </si>
  <si>
    <t>Documentar codigo Arduino</t>
  </si>
  <si>
    <t>Informe parcial (avance del cubo)</t>
  </si>
  <si>
    <t>Desarrollo sistema de voz e IA</t>
  </si>
  <si>
    <t>6.1</t>
  </si>
  <si>
    <t>Configurar Raspberry Pi</t>
  </si>
  <si>
    <t>6.2</t>
  </si>
  <si>
    <t>Implementar reconocimiento de voz</t>
  </si>
  <si>
    <t>Predecesor 6.1</t>
  </si>
  <si>
    <t>6.3</t>
  </si>
  <si>
    <t>Procesamiento de comandos (NLP)</t>
  </si>
  <si>
    <t>Predecesor 6.2</t>
  </si>
  <si>
    <t>6.4</t>
  </si>
  <si>
    <t>Integracion voz con Arduino</t>
  </si>
  <si>
    <t>Predecesor 6.3</t>
  </si>
  <si>
    <t>6.5</t>
  </si>
  <si>
    <t>Pruebas sistema completo</t>
  </si>
  <si>
    <t>Predecesor 6.4</t>
  </si>
  <si>
    <t>6.6</t>
  </si>
  <si>
    <t>Ajustes finales y demo</t>
  </si>
  <si>
    <t>Predecesor 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</si>
</sst>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m/dd"/>
  </numFmts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sz val="10"/>
      <color theme="0"/>
      <name val="Century Gothic"/>
      <family val="1"/>
    </font>
    <font>
      <sz val="12"/>
      <color theme="0"/>
      <name val="Century Gothic"/>
      <family val="1"/>
    </font>
    <font>
      <sz val="12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b/>
      <sz val="28"/>
      <color rgb="FF001033"/>
      <name val="Century Gothic"/>
      <family val="1"/>
    </font>
    <font>
      <sz val="10"/>
      <color theme="0"/>
      <name val="Century Gothic"/>
      <family val="2"/>
    </font>
    <font>
      <sz val="10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1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</cellStyleXfs>
  <cellXfs count="84">
    <xf numFmtId="0" fontId="0" fillId="0" borderId="0" xfId="0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 readingOrder="1"/>
    </xf>
    <xf numFmtId="164" fontId="5" fillId="2" borderId="1" xfId="0" applyNumberFormat="1" applyFont="1" applyFill="1" applyBorder="1" applyAlignment="1">
      <alignment horizontal="left" vertical="center" wrapText="1" indent="1" readingOrder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2"/>
    </xf>
    <xf numFmtId="0" fontId="4" fillId="2" borderId="2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7" borderId="3" xfId="0" applyFont="1" applyFill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0" fontId="10" fillId="7" borderId="3" xfId="0" applyFont="1" applyFill="1" applyBorder="1" applyAlignment="1">
      <alignment horizontal="left" vertical="center" wrapText="1" indent="1"/>
    </xf>
    <xf numFmtId="0" fontId="10" fillId="8" borderId="3" xfId="0" applyFont="1" applyFill="1" applyBorder="1" applyAlignment="1">
      <alignment horizontal="left" vertical="center" wrapText="1" indent="1"/>
    </xf>
    <xf numFmtId="164" fontId="11" fillId="7" borderId="3" xfId="0" applyNumberFormat="1" applyFont="1" applyFill="1" applyBorder="1" applyAlignment="1">
      <alignment horizontal="left" vertical="center" wrapText="1" indent="1"/>
    </xf>
    <xf numFmtId="1" fontId="10" fillId="7" borderId="3" xfId="0" applyNumberFormat="1" applyFont="1" applyFill="1" applyBorder="1" applyAlignment="1">
      <alignment horizontal="left" vertical="center" wrapText="1" indent="1"/>
    </xf>
    <xf numFmtId="164" fontId="10" fillId="8" borderId="3" xfId="0" applyNumberFormat="1" applyFont="1" applyFill="1" applyBorder="1" applyAlignment="1">
      <alignment horizontal="left" vertical="center" wrapText="1" indent="1"/>
    </xf>
    <xf numFmtId="1" fontId="10" fillId="8" borderId="3" xfId="0" applyNumberFormat="1" applyFont="1" applyFill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4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wrapText="1"/>
    </xf>
    <xf numFmtId="0" fontId="10" fillId="5" borderId="3" xfId="0" applyFont="1" applyFill="1" applyBorder="1" applyAlignment="1">
      <alignment horizontal="left" vertical="center" wrapText="1" indent="1"/>
    </xf>
    <xf numFmtId="0" fontId="12" fillId="3" borderId="6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left" vertical="center" wrapText="1" indent="1"/>
    </xf>
    <xf numFmtId="1" fontId="10" fillId="5" borderId="3" xfId="0" applyNumberFormat="1" applyFont="1" applyFill="1" applyBorder="1" applyAlignment="1">
      <alignment horizontal="left" vertical="center" wrapText="1" indent="1"/>
    </xf>
    <xf numFmtId="0" fontId="9" fillId="5" borderId="3" xfId="0" applyFont="1" applyFill="1" applyBorder="1" applyAlignment="1">
      <alignment horizontal="left" vertical="center" wrapText="1" indent="1"/>
    </xf>
    <xf numFmtId="1" fontId="4" fillId="10" borderId="1" xfId="0" applyNumberFormat="1" applyFont="1" applyFill="1" applyBorder="1" applyAlignment="1">
      <alignment horizontal="left" vertical="center" wrapText="1" indent="1"/>
    </xf>
    <xf numFmtId="1" fontId="4" fillId="11" borderId="1" xfId="0" applyNumberFormat="1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1" fontId="4" fillId="10" borderId="8" xfId="0" applyNumberFormat="1" applyFont="1" applyFill="1" applyBorder="1" applyAlignment="1">
      <alignment horizontal="left" vertical="center" wrapText="1" indent="1"/>
    </xf>
    <xf numFmtId="0" fontId="5" fillId="12" borderId="1" xfId="0" applyFont="1" applyFill="1" applyBorder="1" applyAlignment="1">
      <alignment horizontal="left" vertical="center" wrapText="1" indent="1" readingOrder="1"/>
    </xf>
    <xf numFmtId="0" fontId="4" fillId="4" borderId="3" xfId="0" applyFont="1" applyFill="1" applyBorder="1" applyAlignment="1">
      <alignment horizontal="left" vertical="center" wrapText="1" indent="1"/>
    </xf>
    <xf numFmtId="0" fontId="13" fillId="3" borderId="6" xfId="0" applyFont="1" applyFill="1" applyBorder="1" applyAlignment="1">
      <alignment horizontal="left" vertical="center" wrapText="1" indent="1"/>
    </xf>
    <xf numFmtId="0" fontId="10" fillId="5" borderId="0" xfId="0" applyFont="1" applyFill="1" applyAlignment="1">
      <alignment horizontal="left" vertical="center" indent="1"/>
    </xf>
    <xf numFmtId="0" fontId="5" fillId="13" borderId="1" xfId="0" applyFont="1" applyFill="1" applyBorder="1" applyAlignment="1">
      <alignment horizontal="left" vertical="center" wrapText="1" indent="1" readingOrder="1"/>
    </xf>
    <xf numFmtId="0" fontId="4" fillId="14" borderId="1" xfId="0" applyFont="1" applyFill="1" applyBorder="1" applyAlignment="1">
      <alignment horizontal="left" vertical="center" wrapText="1" indent="1"/>
    </xf>
    <xf numFmtId="165" fontId="4" fillId="2" borderId="0" xfId="0" applyNumberFormat="1" applyFont="1" applyFill="1" applyAlignment="1">
      <alignment horizontal="left" vertical="center" wrapText="1"/>
    </xf>
    <xf numFmtId="0" fontId="15" fillId="6" borderId="3" xfId="0" applyFont="1" applyFill="1" applyBorder="1" applyAlignment="1">
      <alignment horizontal="left" vertical="center" wrapText="1" indent="1"/>
    </xf>
    <xf numFmtId="0" fontId="16" fillId="6" borderId="3" xfId="0" applyFont="1" applyFill="1" applyBorder="1" applyAlignment="1">
      <alignment horizontal="left" vertical="center" wrapText="1" indent="1" readingOrder="1"/>
    </xf>
    <xf numFmtId="164" fontId="15" fillId="6" borderId="3" xfId="0" applyNumberFormat="1" applyFont="1" applyFill="1" applyBorder="1" applyAlignment="1">
      <alignment horizontal="left" vertical="center" wrapText="1" indent="1"/>
    </xf>
    <xf numFmtId="1" fontId="15" fillId="6" borderId="3" xfId="0" applyNumberFormat="1" applyFont="1" applyFill="1" applyBorder="1" applyAlignment="1">
      <alignment horizontal="left" vertical="center" wrapText="1" indent="1"/>
    </xf>
    <xf numFmtId="0" fontId="5" fillId="7" borderId="3" xfId="0" applyFont="1" applyFill="1" applyBorder="1" applyAlignment="1">
      <alignment horizontal="left" vertical="center" wrapText="1" indent="1" readingOrder="1"/>
    </xf>
    <xf numFmtId="0" fontId="9" fillId="8" borderId="3" xfId="0" applyFont="1" applyFill="1" applyBorder="1" applyAlignment="1">
      <alignment horizontal="left" vertical="center" wrapText="1" indent="1" readingOrder="1"/>
    </xf>
    <xf numFmtId="1" fontId="4" fillId="15" borderId="1" xfId="0" applyNumberFormat="1" applyFont="1" applyFill="1" applyBorder="1" applyAlignment="1">
      <alignment horizontal="left" vertical="center" wrapText="1" indent="1"/>
    </xf>
    <xf numFmtId="0" fontId="10" fillId="16" borderId="3" xfId="0" applyFont="1" applyFill="1" applyBorder="1" applyAlignment="1">
      <alignment horizontal="left" vertical="center" wrapText="1" indent="1"/>
    </xf>
    <xf numFmtId="0" fontId="5" fillId="16" borderId="3" xfId="0" applyFont="1" applyFill="1" applyBorder="1" applyAlignment="1">
      <alignment horizontal="left" vertical="center" wrapText="1" indent="1" readingOrder="1"/>
    </xf>
    <xf numFmtId="164" fontId="11" fillId="16" borderId="3" xfId="0" applyNumberFormat="1" applyFont="1" applyFill="1" applyBorder="1" applyAlignment="1">
      <alignment horizontal="left" vertical="center" wrapText="1" indent="1"/>
    </xf>
    <xf numFmtId="1" fontId="10" fillId="16" borderId="3" xfId="0" applyNumberFormat="1" applyFont="1" applyFill="1" applyBorder="1" applyAlignment="1">
      <alignment horizontal="left" vertical="center" wrapText="1" indent="1"/>
    </xf>
    <xf numFmtId="0" fontId="4" fillId="16" borderId="3" xfId="0" applyFont="1" applyFill="1" applyBorder="1" applyAlignment="1">
      <alignment horizontal="left" vertical="center" wrapText="1" indent="1"/>
    </xf>
    <xf numFmtId="1" fontId="4" fillId="17" borderId="1" xfId="0" applyNumberFormat="1" applyFont="1" applyFill="1" applyBorder="1" applyAlignment="1">
      <alignment horizontal="left" vertical="center" wrapText="1" indent="1"/>
    </xf>
    <xf numFmtId="1" fontId="4" fillId="14" borderId="1" xfId="0" applyNumberFormat="1" applyFont="1" applyFill="1" applyBorder="1" applyAlignment="1">
      <alignment horizontal="left" vertical="center" wrapText="1" indent="1"/>
    </xf>
    <xf numFmtId="17" fontId="4" fillId="2" borderId="0" xfId="0" applyNumberFormat="1" applyFont="1" applyFill="1" applyAlignment="1">
      <alignment wrapText="1"/>
    </xf>
    <xf numFmtId="14" fontId="12" fillId="9" borderId="6" xfId="0" applyNumberFormat="1" applyFont="1" applyFill="1" applyBorder="1" applyAlignment="1">
      <alignment horizontal="left" vertical="center" wrapText="1" indent="1"/>
    </xf>
    <xf numFmtId="14" fontId="12" fillId="9" borderId="4" xfId="0" applyNumberFormat="1" applyFont="1" applyFill="1" applyBorder="1" applyAlignment="1">
      <alignment horizontal="left" vertical="center" wrapText="1" indent="1"/>
    </xf>
    <xf numFmtId="14" fontId="10" fillId="5" borderId="3" xfId="0" applyNumberFormat="1" applyFont="1" applyFill="1" applyBorder="1" applyAlignment="1">
      <alignment horizontal="left" vertical="center" wrapText="1" indent="1"/>
    </xf>
    <xf numFmtId="14" fontId="10" fillId="5" borderId="7" xfId="0" applyNumberFormat="1" applyFont="1" applyFill="1" applyBorder="1" applyAlignment="1">
      <alignment horizontal="left" vertical="center" wrapText="1" indent="1"/>
    </xf>
    <xf numFmtId="14" fontId="5" fillId="0" borderId="1" xfId="0" applyNumberFormat="1" applyFont="1" applyBorder="1" applyAlignment="1">
      <alignment horizontal="left" vertical="center" wrapText="1" indent="1" readingOrder="1"/>
    </xf>
    <xf numFmtId="14" fontId="15" fillId="6" borderId="3" xfId="0" applyNumberFormat="1" applyFont="1" applyFill="1" applyBorder="1" applyAlignment="1">
      <alignment horizontal="left" vertical="center" wrapText="1" indent="1" readingOrder="1"/>
    </xf>
    <xf numFmtId="14" fontId="15" fillId="6" borderId="3" xfId="0" applyNumberFormat="1" applyFont="1" applyFill="1" applyBorder="1" applyAlignment="1">
      <alignment horizontal="left" vertical="center" wrapText="1" indent="1"/>
    </xf>
    <xf numFmtId="14" fontId="4" fillId="0" borderId="1" xfId="0" applyNumberFormat="1" applyFont="1" applyBorder="1" applyAlignment="1">
      <alignment horizontal="left" vertical="center" wrapText="1" indent="1"/>
    </xf>
    <xf numFmtId="14" fontId="5" fillId="0" borderId="2" xfId="0" applyNumberFormat="1" applyFont="1" applyBorder="1" applyAlignment="1">
      <alignment horizontal="left" vertical="center" wrapText="1" indent="1" readingOrder="1"/>
    </xf>
    <xf numFmtId="14" fontId="4" fillId="0" borderId="2" xfId="0" applyNumberFormat="1" applyFont="1" applyBorder="1" applyAlignment="1">
      <alignment horizontal="left" vertical="center" wrapText="1" indent="1"/>
    </xf>
    <xf numFmtId="14" fontId="10" fillId="7" borderId="3" xfId="0" applyNumberFormat="1" applyFont="1" applyFill="1" applyBorder="1" applyAlignment="1">
      <alignment horizontal="left" vertical="center" wrapText="1" indent="1" readingOrder="1"/>
    </xf>
    <xf numFmtId="14" fontId="10" fillId="7" borderId="3" xfId="0" applyNumberFormat="1" applyFont="1" applyFill="1" applyBorder="1" applyAlignment="1">
      <alignment horizontal="left" vertical="center" wrapText="1" indent="1"/>
    </xf>
    <xf numFmtId="14" fontId="10" fillId="16" borderId="3" xfId="0" applyNumberFormat="1" applyFont="1" applyFill="1" applyBorder="1" applyAlignment="1">
      <alignment horizontal="left" vertical="center" wrapText="1" indent="1" readingOrder="1"/>
    </xf>
    <xf numFmtId="14" fontId="10" fillId="16" borderId="3" xfId="0" applyNumberFormat="1" applyFont="1" applyFill="1" applyBorder="1" applyAlignment="1">
      <alignment horizontal="left" vertical="center" wrapText="1" indent="1"/>
    </xf>
    <xf numFmtId="14" fontId="10" fillId="8" borderId="3" xfId="0" applyNumberFormat="1" applyFont="1" applyFill="1" applyBorder="1" applyAlignment="1">
      <alignment horizontal="left" vertical="center" wrapText="1" indent="1" readingOrder="1"/>
    </xf>
    <xf numFmtId="14" fontId="10" fillId="8" borderId="3" xfId="0" applyNumberFormat="1" applyFont="1" applyFill="1" applyBorder="1" applyAlignment="1">
      <alignment horizontal="left" vertical="center" wrapText="1" indent="1"/>
    </xf>
    <xf numFmtId="14" fontId="4" fillId="2" borderId="0" xfId="0" applyNumberFormat="1" applyFont="1" applyFill="1" applyAlignment="1">
      <alignment wrapText="1"/>
    </xf>
    <xf numFmtId="14" fontId="4" fillId="0" borderId="4" xfId="0" applyNumberFormat="1" applyFont="1" applyBorder="1" applyAlignment="1">
      <alignment horizontal="left" vertical="center" wrapText="1" indent="1"/>
    </xf>
    <xf numFmtId="0" fontId="10" fillId="18" borderId="3" xfId="0" applyFont="1" applyFill="1" applyBorder="1" applyAlignment="1">
      <alignment horizontal="left" vertical="center" wrapText="1" indent="1"/>
    </xf>
    <xf numFmtId="0" fontId="9" fillId="18" borderId="3" xfId="0" applyFont="1" applyFill="1" applyBorder="1" applyAlignment="1">
      <alignment horizontal="left" vertical="center" wrapText="1" indent="1" readingOrder="1"/>
    </xf>
    <xf numFmtId="164" fontId="10" fillId="18" borderId="3" xfId="0" applyNumberFormat="1" applyFont="1" applyFill="1" applyBorder="1" applyAlignment="1">
      <alignment horizontal="left" vertical="center" wrapText="1" indent="1"/>
    </xf>
    <xf numFmtId="14" fontId="10" fillId="18" borderId="3" xfId="0" applyNumberFormat="1" applyFont="1" applyFill="1" applyBorder="1" applyAlignment="1">
      <alignment horizontal="left" vertical="center" wrapText="1" indent="1" readingOrder="1"/>
    </xf>
    <xf numFmtId="14" fontId="10" fillId="18" borderId="3" xfId="0" applyNumberFormat="1" applyFont="1" applyFill="1" applyBorder="1" applyAlignment="1">
      <alignment horizontal="left" vertical="center" wrapText="1" indent="1"/>
    </xf>
    <xf numFmtId="1" fontId="10" fillId="18" borderId="3" xfId="0" applyNumberFormat="1" applyFont="1" applyFill="1" applyBorder="1" applyAlignment="1">
      <alignment horizontal="left" vertical="center" wrapText="1" indent="1"/>
    </xf>
    <xf numFmtId="0" fontId="9" fillId="18" borderId="3" xfId="0" applyFont="1" applyFill="1" applyBorder="1" applyAlignment="1">
      <alignment horizontal="left" vertical="center" wrapText="1" indent="1"/>
    </xf>
    <xf numFmtId="14" fontId="4" fillId="2" borderId="5" xfId="0" applyNumberFormat="1" applyFont="1" applyFill="1" applyBorder="1" applyAlignment="1">
      <alignment vertical="center" wrapText="1"/>
    </xf>
    <xf numFmtId="0" fontId="14" fillId="2" borderId="0" xfId="0" applyFont="1" applyFill="1" applyAlignment="1">
      <alignment horizontal="center" vertical="center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20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Medium4"/>
  <colors>
    <mruColors>
      <color rgb="FF007134"/>
      <color rgb="FF001033"/>
      <color rgb="FF03C15A"/>
      <color rgb="FFD1EEFF"/>
      <color rgb="FFEAEEF3"/>
      <color rgb="FFADC006"/>
      <color rgb="FFB3E481"/>
      <color rgb="FFA2D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2800" b="1"/>
              <a:t>SOFTWARE</a:t>
            </a:r>
            <a:r>
              <a:rPr lang="es-CO" sz="2800" b="1" baseline="0"/>
              <a:t> DEL CUBO DE LEDS</a:t>
            </a:r>
            <a:endParaRPr lang="es-CO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2487722001923616"/>
          <c:y val="0.16772351681648903"/>
          <c:w val="0.74172602667610898"/>
          <c:h val="0.8173104951856548"/>
        </c:manualLayout>
      </c:layout>
      <c:barChart>
        <c:barDir val="bar"/>
        <c:grouping val="stacked"/>
        <c:varyColors val="0"/>
        <c:ser>
          <c:idx val="0"/>
          <c:order val="0"/>
          <c:tx>
            <c:v>Fecha Inicio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'PROYECTO SOFTWARE ARDUINO CUBO '!$C$8:$C$50</c:f>
              <c:strCache>
                <c:ptCount val="43"/>
                <c:pt idx="0">
                  <c:v>Concepción e Inicio del Proyecto</c:v>
                </c:pt>
                <c:pt idx="1">
                  <c:v>Identificar interesados del proyecto</c:v>
                </c:pt>
                <c:pt idx="2">
                  <c:v>Definir objetivo del proyecto</c:v>
                </c:pt>
                <c:pt idx="3">
                  <c:v>Levantar requerimientos del sistema</c:v>
                </c:pt>
                <c:pt idx="4">
                  <c:v>Establecer alcance del proyecto</c:v>
                </c:pt>
                <c:pt idx="5">
                  <c:v>Identificar funcionalidades del software</c:v>
                </c:pt>
                <c:pt idx="6">
                  <c:v>Definir limitaciones tecnicas</c:v>
                </c:pt>
                <c:pt idx="7">
                  <c:v>Analizar memoria y pines del Arduino</c:v>
                </c:pt>
                <c:pt idx="8">
                  <c:v>Definición y Planificación del Proyecto</c:v>
                </c:pt>
                <c:pt idx="9">
                  <c:v>Elaborar EDT del proyecto</c:v>
                </c:pt>
                <c:pt idx="10">
                  <c:v>Construir cronograma del proyecto</c:v>
                </c:pt>
                <c:pt idx="11">
                  <c:v>Asignar responsables por tarea</c:v>
                </c:pt>
                <c:pt idx="12">
                  <c:v>Estimar recursos necesarios</c:v>
                </c:pt>
                <c:pt idx="13">
                  <c:v>Estimar costos y presupuesto</c:v>
                </c:pt>
                <c:pt idx="14">
                  <c:v>Diseñar flujo general del programa</c:v>
                </c:pt>
                <c:pt idx="15">
                  <c:v>Construccion del Cubo LED</c:v>
                </c:pt>
                <c:pt idx="16">
                  <c:v>Construir molde de LEDs</c:v>
                </c:pt>
                <c:pt idx="17">
                  <c:v>Construir molde estructural</c:v>
                </c:pt>
                <c:pt idx="18">
                  <c:v>Cortar tramos de alambre</c:v>
                </c:pt>
                <c:pt idx="19">
                  <c:v>Soldar paneles LED (8x8)</c:v>
                </c:pt>
                <c:pt idx="20">
                  <c:v>Soldar linea de datos entre paneles</c:v>
                </c:pt>
                <c:pt idx="21">
                  <c:v>Soldar VCC y GND horizontales</c:v>
                </c:pt>
                <c:pt idx="22">
                  <c:v>Soldar VCC y GND verticales</c:v>
                </c:pt>
                <c:pt idx="23">
                  <c:v>Cortar piezas de acrilico</c:v>
                </c:pt>
                <c:pt idx="24">
                  <c:v>Montaje del cubo</c:v>
                </c:pt>
                <c:pt idx="25">
                  <c:v>Conexion del circuito del cubo</c:v>
                </c:pt>
                <c:pt idx="26">
                  <c:v>Desarrollo de Software Arduino</c:v>
                </c:pt>
                <c:pt idx="27">
                  <c:v>Configurar entorno y librerias</c:v>
                </c:pt>
                <c:pt idx="28">
                  <c:v>Configurar comunicacion con LEDs</c:v>
                </c:pt>
                <c:pt idx="29">
                  <c:v>Programar control individual de LEDs</c:v>
                </c:pt>
                <c:pt idx="30">
                  <c:v>Implementar manejo matricial 3D</c:v>
                </c:pt>
                <c:pt idx="31">
                  <c:v>Programar figuras 3D y 2D</c:v>
                </c:pt>
                <c:pt idx="32">
                  <c:v>Programar animaciones (barrido, expansion, rotacion, capas, lluvia)</c:v>
                </c:pt>
                <c:pt idx="33">
                  <c:v>Pruebas con hardware real</c:v>
                </c:pt>
                <c:pt idx="34">
                  <c:v>Optimizar rendimiento</c:v>
                </c:pt>
                <c:pt idx="35">
                  <c:v>Cierre sistema Arduino y Cubo</c:v>
                </c:pt>
                <c:pt idx="36">
                  <c:v>Pruebas integradas Arduino + Cubo</c:v>
                </c:pt>
                <c:pt idx="37">
                  <c:v>Documentar codigo Arduino</c:v>
                </c:pt>
                <c:pt idx="38">
                  <c:v>Informe parcial (avance del cubo)</c:v>
                </c:pt>
                <c:pt idx="39">
                  <c:v>Desarrollo sistema de voz e IA</c:v>
                </c:pt>
                <c:pt idx="40">
                  <c:v>Configurar Raspberry Pi</c:v>
                </c:pt>
                <c:pt idx="41">
                  <c:v>Implementar reconocimiento de voz</c:v>
                </c:pt>
                <c:pt idx="42">
                  <c:v>Procesamiento de comandos (NLP)</c:v>
                </c:pt>
              </c:strCache>
            </c:strRef>
          </c:cat>
          <c:val>
            <c:numRef>
              <c:f>'PROYECTO SOFTWARE ARDUINO CUBO '!$F$8:$F$53</c:f>
              <c:numCache>
                <c:formatCode>m/d/yyyy</c:formatCode>
                <c:ptCount val="46"/>
                <c:pt idx="0">
                  <c:v>46067</c:v>
                </c:pt>
                <c:pt idx="1">
                  <c:v>46067</c:v>
                </c:pt>
                <c:pt idx="2">
                  <c:v>46069</c:v>
                </c:pt>
                <c:pt idx="3">
                  <c:v>46071</c:v>
                </c:pt>
                <c:pt idx="4">
                  <c:v>46074</c:v>
                </c:pt>
                <c:pt idx="5">
                  <c:v>46074</c:v>
                </c:pt>
                <c:pt idx="6">
                  <c:v>46079</c:v>
                </c:pt>
                <c:pt idx="7">
                  <c:v>46082</c:v>
                </c:pt>
                <c:pt idx="8">
                  <c:v>46089</c:v>
                </c:pt>
                <c:pt idx="9">
                  <c:v>46089</c:v>
                </c:pt>
                <c:pt idx="10">
                  <c:v>46091</c:v>
                </c:pt>
                <c:pt idx="11">
                  <c:v>46093</c:v>
                </c:pt>
                <c:pt idx="12">
                  <c:v>46094</c:v>
                </c:pt>
                <c:pt idx="13">
                  <c:v>46096</c:v>
                </c:pt>
                <c:pt idx="14">
                  <c:v>46099</c:v>
                </c:pt>
                <c:pt idx="15">
                  <c:v>46107</c:v>
                </c:pt>
                <c:pt idx="16">
                  <c:v>46107</c:v>
                </c:pt>
                <c:pt idx="17">
                  <c:v>46110</c:v>
                </c:pt>
                <c:pt idx="18">
                  <c:v>46113</c:v>
                </c:pt>
                <c:pt idx="19">
                  <c:v>46115</c:v>
                </c:pt>
                <c:pt idx="20">
                  <c:v>46153</c:v>
                </c:pt>
                <c:pt idx="21">
                  <c:v>46156</c:v>
                </c:pt>
                <c:pt idx="22">
                  <c:v>46159</c:v>
                </c:pt>
                <c:pt idx="23">
                  <c:v>46162</c:v>
                </c:pt>
                <c:pt idx="24">
                  <c:v>46164</c:v>
                </c:pt>
                <c:pt idx="25">
                  <c:v>46167</c:v>
                </c:pt>
                <c:pt idx="26">
                  <c:v>46133</c:v>
                </c:pt>
                <c:pt idx="27">
                  <c:v>46133</c:v>
                </c:pt>
                <c:pt idx="28">
                  <c:v>46135</c:v>
                </c:pt>
                <c:pt idx="29">
                  <c:v>46148</c:v>
                </c:pt>
                <c:pt idx="30">
                  <c:v>46153</c:v>
                </c:pt>
                <c:pt idx="31">
                  <c:v>46158</c:v>
                </c:pt>
                <c:pt idx="32">
                  <c:v>46163</c:v>
                </c:pt>
                <c:pt idx="33">
                  <c:v>46167</c:v>
                </c:pt>
                <c:pt idx="34">
                  <c:v>46171</c:v>
                </c:pt>
                <c:pt idx="35">
                  <c:v>46169</c:v>
                </c:pt>
                <c:pt idx="36">
                  <c:v>46169</c:v>
                </c:pt>
                <c:pt idx="37">
                  <c:v>46171</c:v>
                </c:pt>
                <c:pt idx="38">
                  <c:v>46172</c:v>
                </c:pt>
                <c:pt idx="39">
                  <c:v>46174</c:v>
                </c:pt>
                <c:pt idx="40">
                  <c:v>46174</c:v>
                </c:pt>
                <c:pt idx="41">
                  <c:v>46179</c:v>
                </c:pt>
                <c:pt idx="42">
                  <c:v>46194</c:v>
                </c:pt>
                <c:pt idx="43">
                  <c:v>46209</c:v>
                </c:pt>
                <c:pt idx="44">
                  <c:v>46250</c:v>
                </c:pt>
                <c:pt idx="45">
                  <c:v>46260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B-4CCB-A17E-31B43F0CEC10}"/>
            </c:ext>
          </c:extLst>
        </c:ser>
        <c:ser>
          <c:idx val="1"/>
          <c:order val="1"/>
          <c:tx>
            <c:v>Duracion de los dias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'PROYECTO SOFTWARE ARDUINO CUBO '!$C$8:$C$50</c:f>
              <c:strCache>
                <c:ptCount val="43"/>
                <c:pt idx="0">
                  <c:v>Concepción e Inicio del Proyecto</c:v>
                </c:pt>
                <c:pt idx="1">
                  <c:v>Identificar interesados del proyecto</c:v>
                </c:pt>
                <c:pt idx="2">
                  <c:v>Definir objetivo del proyecto</c:v>
                </c:pt>
                <c:pt idx="3">
                  <c:v>Levantar requerimientos del sistema</c:v>
                </c:pt>
                <c:pt idx="4">
                  <c:v>Establecer alcance del proyecto</c:v>
                </c:pt>
                <c:pt idx="5">
                  <c:v>Identificar funcionalidades del software</c:v>
                </c:pt>
                <c:pt idx="6">
                  <c:v>Definir limitaciones tecnicas</c:v>
                </c:pt>
                <c:pt idx="7">
                  <c:v>Analizar memoria y pines del Arduino</c:v>
                </c:pt>
                <c:pt idx="8">
                  <c:v>Definición y Planificación del Proyecto</c:v>
                </c:pt>
                <c:pt idx="9">
                  <c:v>Elaborar EDT del proyecto</c:v>
                </c:pt>
                <c:pt idx="10">
                  <c:v>Construir cronograma del proyecto</c:v>
                </c:pt>
                <c:pt idx="11">
                  <c:v>Asignar responsables por tarea</c:v>
                </c:pt>
                <c:pt idx="12">
                  <c:v>Estimar recursos necesarios</c:v>
                </c:pt>
                <c:pt idx="13">
                  <c:v>Estimar costos y presupuesto</c:v>
                </c:pt>
                <c:pt idx="14">
                  <c:v>Diseñar flujo general del programa</c:v>
                </c:pt>
                <c:pt idx="15">
                  <c:v>Construccion del Cubo LED</c:v>
                </c:pt>
                <c:pt idx="16">
                  <c:v>Construir molde de LEDs</c:v>
                </c:pt>
                <c:pt idx="17">
                  <c:v>Construir molde estructural</c:v>
                </c:pt>
                <c:pt idx="18">
                  <c:v>Cortar tramos de alambre</c:v>
                </c:pt>
                <c:pt idx="19">
                  <c:v>Soldar paneles LED (8x8)</c:v>
                </c:pt>
                <c:pt idx="20">
                  <c:v>Soldar linea de datos entre paneles</c:v>
                </c:pt>
                <c:pt idx="21">
                  <c:v>Soldar VCC y GND horizontales</c:v>
                </c:pt>
                <c:pt idx="22">
                  <c:v>Soldar VCC y GND verticales</c:v>
                </c:pt>
                <c:pt idx="23">
                  <c:v>Cortar piezas de acrilico</c:v>
                </c:pt>
                <c:pt idx="24">
                  <c:v>Montaje del cubo</c:v>
                </c:pt>
                <c:pt idx="25">
                  <c:v>Conexion del circuito del cubo</c:v>
                </c:pt>
                <c:pt idx="26">
                  <c:v>Desarrollo de Software Arduino</c:v>
                </c:pt>
                <c:pt idx="27">
                  <c:v>Configurar entorno y librerias</c:v>
                </c:pt>
                <c:pt idx="28">
                  <c:v>Configurar comunicacion con LEDs</c:v>
                </c:pt>
                <c:pt idx="29">
                  <c:v>Programar control individual de LEDs</c:v>
                </c:pt>
                <c:pt idx="30">
                  <c:v>Implementar manejo matricial 3D</c:v>
                </c:pt>
                <c:pt idx="31">
                  <c:v>Programar figuras 3D y 2D</c:v>
                </c:pt>
                <c:pt idx="32">
                  <c:v>Programar animaciones (barrido, expansion, rotacion, capas, lluvia)</c:v>
                </c:pt>
                <c:pt idx="33">
                  <c:v>Pruebas con hardware real</c:v>
                </c:pt>
                <c:pt idx="34">
                  <c:v>Optimizar rendimiento</c:v>
                </c:pt>
                <c:pt idx="35">
                  <c:v>Cierre sistema Arduino y Cubo</c:v>
                </c:pt>
                <c:pt idx="36">
                  <c:v>Pruebas integradas Arduino + Cubo</c:v>
                </c:pt>
                <c:pt idx="37">
                  <c:v>Documentar codigo Arduino</c:v>
                </c:pt>
                <c:pt idx="38">
                  <c:v>Informe parcial (avance del cubo)</c:v>
                </c:pt>
                <c:pt idx="39">
                  <c:v>Desarrollo sistema de voz e IA</c:v>
                </c:pt>
                <c:pt idx="40">
                  <c:v>Configurar Raspberry Pi</c:v>
                </c:pt>
                <c:pt idx="41">
                  <c:v>Implementar reconocimiento de voz</c:v>
                </c:pt>
                <c:pt idx="42">
                  <c:v>Procesamiento de comandos (NLP)</c:v>
                </c:pt>
              </c:strCache>
            </c:strRef>
          </c:cat>
          <c:val>
            <c:numRef>
              <c:f>'PROYECTO SOFTWARE ARDUINO CUBO '!$H$8:$H$53</c:f>
              <c:numCache>
                <c:formatCode>0</c:formatCode>
                <c:ptCount val="46"/>
                <c:pt idx="0">
                  <c:v>22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18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8</c:v>
                </c:pt>
                <c:pt idx="15">
                  <c:v>46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38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40</c:v>
                </c:pt>
                <c:pt idx="27">
                  <c:v>2</c:v>
                </c:pt>
                <c:pt idx="28">
                  <c:v>10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4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91</c:v>
                </c:pt>
                <c:pt idx="40">
                  <c:v>5</c:v>
                </c:pt>
                <c:pt idx="41">
                  <c:v>15</c:v>
                </c:pt>
                <c:pt idx="42">
                  <c:v>15</c:v>
                </c:pt>
                <c:pt idx="43">
                  <c:v>10</c:v>
                </c:pt>
                <c:pt idx="44">
                  <c:v>10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EB-4CCB-A17E-31B43F0CE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965121343"/>
        <c:axId val="1965121823"/>
      </c:barChart>
      <c:catAx>
        <c:axId val="19651213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21823"/>
        <c:crosses val="autoZero"/>
        <c:auto val="1"/>
        <c:lblAlgn val="ctr"/>
        <c:lblOffset val="100"/>
        <c:noMultiLvlLbl val="0"/>
      </c:catAx>
      <c:valAx>
        <c:axId val="1965121823"/>
        <c:scaling>
          <c:orientation val="minMax"/>
          <c:max val="46171"/>
          <c:min val="46067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mm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2134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255130</xdr:colOff>
      <xdr:row>55</xdr:row>
      <xdr:rowOff>37419</xdr:rowOff>
    </xdr:from>
    <xdr:to>
      <xdr:col>34</xdr:col>
      <xdr:colOff>34636</xdr:colOff>
      <xdr:row>144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6E38D48-9CA1-49BF-C482-53A0676B7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V991"/>
  <sheetViews>
    <sheetView showGridLines="0" tabSelected="1" zoomScale="115" zoomScaleNormal="115" workbookViewId="0">
      <pane ySplit="1" topLeftCell="A17" activePane="bottomLeft" state="frozen"/>
      <selection pane="bottomLeft" activeCell="D28" sqref="D28"/>
    </sheetView>
  </sheetViews>
  <sheetFormatPr baseColWidth="10" defaultColWidth="11" defaultRowHeight="13.5" outlineLevelRow="1" x14ac:dyDescent="0.25"/>
  <cols>
    <col min="1" max="1" width="3.375" style="5" customWidth="1"/>
    <col min="2" max="2" width="7.875" style="5" customWidth="1"/>
    <col min="3" max="3" width="57" style="5" bestFit="1" customWidth="1"/>
    <col min="4" max="4" width="11.875" style="5" bestFit="1" customWidth="1"/>
    <col min="5" max="5" width="20.875" style="5" customWidth="1"/>
    <col min="6" max="6" width="15.25" style="5" customWidth="1"/>
    <col min="7" max="7" width="14.75" style="5" customWidth="1"/>
    <col min="8" max="8" width="11.875" style="5" customWidth="1"/>
    <col min="9" max="9" width="50.875" style="5" customWidth="1"/>
    <col min="10" max="10" width="3.375" style="5" customWidth="1"/>
    <col min="11" max="11" width="12.875" style="5" customWidth="1"/>
    <col min="12" max="17" width="11" style="5"/>
    <col min="18" max="18" width="9" style="5" customWidth="1"/>
    <col min="19" max="16384" width="11" style="5"/>
  </cols>
  <sheetData>
    <row r="1" spans="1:258" ht="57" customHeight="1" x14ac:dyDescent="0.25">
      <c r="A1" s="83" t="s">
        <v>30</v>
      </c>
      <c r="B1" s="83"/>
      <c r="C1" s="83"/>
      <c r="D1" s="83"/>
      <c r="E1" s="83"/>
      <c r="F1" s="83"/>
      <c r="G1" s="83"/>
      <c r="H1" s="83"/>
      <c r="I1"/>
      <c r="J1" s="1"/>
      <c r="K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14" customFormat="1" ht="18" customHeight="1" x14ac:dyDescent="0.25">
      <c r="A2" s="13"/>
      <c r="B2" s="13"/>
      <c r="C2" s="13" t="s">
        <v>10</v>
      </c>
      <c r="D2" s="13"/>
      <c r="E2" s="13" t="s">
        <v>12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</row>
    <row r="3" spans="1:258" ht="30" customHeight="1" thickBot="1" x14ac:dyDescent="0.3">
      <c r="A3" s="1"/>
      <c r="B3" s="1"/>
      <c r="C3" s="23" t="s">
        <v>30</v>
      </c>
      <c r="D3" s="1"/>
      <c r="E3" s="74">
        <v>46067</v>
      </c>
      <c r="F3" s="1"/>
      <c r="G3" s="1"/>
      <c r="H3" s="1" t="s">
        <v>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</row>
    <row r="4" spans="1:258" s="14" customFormat="1" ht="18" customHeight="1" thickBot="1" x14ac:dyDescent="0.3">
      <c r="A4" s="13"/>
      <c r="B4" s="13"/>
      <c r="C4" s="24" t="s">
        <v>11</v>
      </c>
      <c r="D4" s="13"/>
      <c r="E4" s="82" t="s">
        <v>13</v>
      </c>
      <c r="F4" s="13"/>
      <c r="G4" s="13"/>
      <c r="H4" s="13" t="s">
        <v>15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</row>
    <row r="5" spans="1:258" ht="30" customHeight="1" thickBot="1" x14ac:dyDescent="0.3">
      <c r="A5" s="1"/>
      <c r="B5" s="1"/>
      <c r="C5" s="33" t="s">
        <v>31</v>
      </c>
      <c r="D5" s="1"/>
      <c r="E5" s="74">
        <v>46172</v>
      </c>
      <c r="F5" s="1"/>
      <c r="G5" s="1"/>
      <c r="H5" s="34">
        <f>IF(E3=0,0,E5-E3)+1</f>
        <v>106</v>
      </c>
      <c r="I5" s="1"/>
      <c r="J5" s="1"/>
      <c r="K5" s="1"/>
      <c r="L5" s="1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x14ac:dyDescent="0.25">
      <c r="A6" s="1"/>
      <c r="B6" s="1"/>
      <c r="C6" s="1"/>
      <c r="D6" s="1"/>
      <c r="E6" s="25"/>
      <c r="F6" s="1"/>
      <c r="G6" s="1"/>
      <c r="H6" s="25"/>
      <c r="I6" s="1"/>
      <c r="J6" s="1"/>
      <c r="K6" s="1"/>
      <c r="L6" s="1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s="9" customFormat="1" ht="35.1" customHeight="1" thickBot="1" x14ac:dyDescent="0.3">
      <c r="A7" s="8"/>
      <c r="B7" s="27" t="s">
        <v>43</v>
      </c>
      <c r="C7" s="27" t="s">
        <v>4</v>
      </c>
      <c r="D7" s="27" t="s">
        <v>5</v>
      </c>
      <c r="E7" s="27" t="s">
        <v>6</v>
      </c>
      <c r="F7" s="57" t="s">
        <v>12</v>
      </c>
      <c r="G7" s="58" t="s">
        <v>7</v>
      </c>
      <c r="H7" s="27" t="s">
        <v>8</v>
      </c>
      <c r="I7" s="27" t="s">
        <v>9</v>
      </c>
      <c r="J7" s="8"/>
      <c r="K7" s="37" t="s">
        <v>5</v>
      </c>
      <c r="L7" s="8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</row>
    <row r="8" spans="1:258" s="7" customFormat="1" ht="24.95" customHeight="1" x14ac:dyDescent="0.25">
      <c r="A8" s="6"/>
      <c r="B8" s="26">
        <v>1</v>
      </c>
      <c r="C8" s="38" t="s">
        <v>2</v>
      </c>
      <c r="D8" s="35" t="s">
        <v>17</v>
      </c>
      <c r="E8" s="28" t="s">
        <v>20</v>
      </c>
      <c r="F8" s="59">
        <v>46067</v>
      </c>
      <c r="G8" s="60">
        <v>46088</v>
      </c>
      <c r="H8" s="29">
        <f>IF(F8=0,0,G8-F8)+1</f>
        <v>22</v>
      </c>
      <c r="I8" s="30"/>
      <c r="J8" s="6"/>
      <c r="K8" s="36" t="s">
        <v>18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</row>
    <row r="9" spans="1:258" s="7" customFormat="1" ht="24.95" customHeight="1" outlineLevel="1" x14ac:dyDescent="0.25">
      <c r="A9" s="6"/>
      <c r="B9" s="2" t="s">
        <v>21</v>
      </c>
      <c r="C9" s="10" t="s">
        <v>64</v>
      </c>
      <c r="D9" s="3" t="s">
        <v>16</v>
      </c>
      <c r="E9" s="4" t="s">
        <v>20</v>
      </c>
      <c r="F9" s="61">
        <v>46067</v>
      </c>
      <c r="G9" s="61">
        <v>46068</v>
      </c>
      <c r="H9" s="31">
        <f t="shared" ref="H9:H12" si="0">IF(F9=0,0,G9-F9)+1</f>
        <v>2</v>
      </c>
      <c r="I9" s="2" t="s">
        <v>42</v>
      </c>
      <c r="J9" s="6"/>
      <c r="K9" s="35" t="s">
        <v>17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</row>
    <row r="10" spans="1:258" s="7" customFormat="1" ht="24.95" customHeight="1" outlineLevel="1" x14ac:dyDescent="0.25">
      <c r="A10" s="6"/>
      <c r="B10" s="2" t="s">
        <v>22</v>
      </c>
      <c r="C10" s="10" t="s">
        <v>65</v>
      </c>
      <c r="D10" s="3" t="s">
        <v>16</v>
      </c>
      <c r="E10" s="4" t="s">
        <v>20</v>
      </c>
      <c r="F10" s="61">
        <v>46069</v>
      </c>
      <c r="G10" s="61">
        <v>46070</v>
      </c>
      <c r="H10" s="31">
        <f t="shared" si="0"/>
        <v>2</v>
      </c>
      <c r="I10" s="2" t="s">
        <v>32</v>
      </c>
      <c r="J10" s="6"/>
      <c r="K10" s="39" t="s">
        <v>16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</row>
    <row r="11" spans="1:258" s="7" customFormat="1" ht="24.95" customHeight="1" outlineLevel="1" x14ac:dyDescent="0.25">
      <c r="A11" s="6"/>
      <c r="B11" s="2" t="s">
        <v>44</v>
      </c>
      <c r="C11" s="10" t="s">
        <v>66</v>
      </c>
      <c r="D11" s="3" t="s">
        <v>16</v>
      </c>
      <c r="E11" s="4" t="s">
        <v>20</v>
      </c>
      <c r="F11" s="61">
        <v>46071</v>
      </c>
      <c r="G11" s="61">
        <v>46073</v>
      </c>
      <c r="H11" s="31">
        <f t="shared" si="0"/>
        <v>3</v>
      </c>
      <c r="I11" s="2" t="s">
        <v>33</v>
      </c>
      <c r="J11" s="6"/>
      <c r="K11" s="40" t="s">
        <v>19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</row>
    <row r="12" spans="1:258" s="7" customFormat="1" ht="24.95" customHeight="1" outlineLevel="1" x14ac:dyDescent="0.25">
      <c r="A12" s="6"/>
      <c r="B12" s="2" t="s">
        <v>45</v>
      </c>
      <c r="C12" s="10" t="s">
        <v>67</v>
      </c>
      <c r="D12" s="3" t="s">
        <v>16</v>
      </c>
      <c r="E12" s="4" t="s">
        <v>20</v>
      </c>
      <c r="F12" s="61">
        <v>46074</v>
      </c>
      <c r="G12" s="61">
        <v>46074</v>
      </c>
      <c r="H12" s="31">
        <f t="shared" si="0"/>
        <v>1</v>
      </c>
      <c r="I12" s="2" t="s">
        <v>46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</row>
    <row r="13" spans="1:258" s="7" customFormat="1" ht="24.95" customHeight="1" outlineLevel="1" x14ac:dyDescent="0.25">
      <c r="A13" s="6"/>
      <c r="B13" s="2" t="s">
        <v>47</v>
      </c>
      <c r="C13" s="10" t="s">
        <v>68</v>
      </c>
      <c r="D13" s="3" t="s">
        <v>16</v>
      </c>
      <c r="E13" s="4" t="s">
        <v>20</v>
      </c>
      <c r="F13" s="61">
        <v>46074</v>
      </c>
      <c r="G13" s="61">
        <v>46078</v>
      </c>
      <c r="H13" s="31">
        <f>IF(F13=0,0,G13-F13)+1</f>
        <v>5</v>
      </c>
      <c r="I13" s="7" t="s">
        <v>59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</row>
    <row r="14" spans="1:258" s="7" customFormat="1" ht="24.95" customHeight="1" outlineLevel="1" x14ac:dyDescent="0.25">
      <c r="A14" s="6"/>
      <c r="B14" s="2" t="s">
        <v>48</v>
      </c>
      <c r="C14" s="10" t="s">
        <v>69</v>
      </c>
      <c r="D14" s="3" t="s">
        <v>16</v>
      </c>
      <c r="E14" s="4" t="s">
        <v>20</v>
      </c>
      <c r="F14" s="61">
        <v>46079</v>
      </c>
      <c r="G14" s="61">
        <v>46081</v>
      </c>
      <c r="H14" s="31">
        <f t="shared" ref="H14:H15" si="1">IF(F14=0,0,G14-F14)+1</f>
        <v>3</v>
      </c>
      <c r="I14" s="2" t="s">
        <v>49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</row>
    <row r="15" spans="1:258" s="7" customFormat="1" ht="24.95" customHeight="1" outlineLevel="1" x14ac:dyDescent="0.25">
      <c r="A15" s="6"/>
      <c r="B15" s="2" t="s">
        <v>23</v>
      </c>
      <c r="C15" s="10" t="s">
        <v>70</v>
      </c>
      <c r="D15" s="3" t="s">
        <v>16</v>
      </c>
      <c r="E15" s="4" t="s">
        <v>20</v>
      </c>
      <c r="F15" s="61">
        <v>46082</v>
      </c>
      <c r="G15" s="61">
        <v>46088</v>
      </c>
      <c r="H15" s="31">
        <f t="shared" si="1"/>
        <v>7</v>
      </c>
      <c r="I15" s="2" t="s">
        <v>50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</row>
    <row r="16" spans="1:258" s="7" customFormat="1" ht="26.25" customHeight="1" x14ac:dyDescent="0.25">
      <c r="A16" s="6"/>
      <c r="B16" s="42">
        <v>2</v>
      </c>
      <c r="C16" s="42" t="s">
        <v>3</v>
      </c>
      <c r="D16" s="43" t="s">
        <v>17</v>
      </c>
      <c r="E16" s="44" t="s">
        <v>20</v>
      </c>
      <c r="F16" s="62">
        <v>46089</v>
      </c>
      <c r="G16" s="63">
        <v>46106</v>
      </c>
      <c r="H16" s="45">
        <f>IF(F16=0,0,G16-F16)+1</f>
        <v>18</v>
      </c>
      <c r="I16" s="42"/>
      <c r="J16" s="6"/>
      <c r="K16" s="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</row>
    <row r="17" spans="1:258" s="7" customFormat="1" ht="24.95" customHeight="1" outlineLevel="1" x14ac:dyDescent="0.25">
      <c r="A17" s="6"/>
      <c r="B17" s="2" t="s">
        <v>24</v>
      </c>
      <c r="C17" s="10" t="s">
        <v>71</v>
      </c>
      <c r="D17" s="3" t="s">
        <v>16</v>
      </c>
      <c r="E17" s="4" t="s">
        <v>20</v>
      </c>
      <c r="F17" s="61">
        <v>46089</v>
      </c>
      <c r="G17" s="61">
        <v>46090</v>
      </c>
      <c r="H17" s="32">
        <f t="shared" ref="H17:H22" si="2">IF(F17=0,0,G17-F17)+1</f>
        <v>2</v>
      </c>
      <c r="I17" s="2" t="s">
        <v>34</v>
      </c>
      <c r="J17" s="6"/>
      <c r="K17" s="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</row>
    <row r="18" spans="1:258" s="7" customFormat="1" ht="24.95" customHeight="1" outlineLevel="1" x14ac:dyDescent="0.25">
      <c r="A18" s="6"/>
      <c r="B18" s="2" t="s">
        <v>25</v>
      </c>
      <c r="C18" s="10" t="s">
        <v>72</v>
      </c>
      <c r="D18" s="3" t="s">
        <v>16</v>
      </c>
      <c r="E18" s="4" t="s">
        <v>20</v>
      </c>
      <c r="F18" s="61">
        <v>46091</v>
      </c>
      <c r="G18" s="61">
        <v>46092</v>
      </c>
      <c r="H18" s="32">
        <f t="shared" si="2"/>
        <v>2</v>
      </c>
      <c r="I18" s="2" t="s">
        <v>35</v>
      </c>
      <c r="J18" s="6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</row>
    <row r="19" spans="1:258" s="7" customFormat="1" ht="24.95" customHeight="1" outlineLevel="1" x14ac:dyDescent="0.25">
      <c r="A19" s="6"/>
      <c r="B19" s="2" t="s">
        <v>51</v>
      </c>
      <c r="C19" s="10" t="s">
        <v>73</v>
      </c>
      <c r="D19" s="3" t="s">
        <v>16</v>
      </c>
      <c r="E19" s="4" t="s">
        <v>20</v>
      </c>
      <c r="F19" s="61">
        <v>46093</v>
      </c>
      <c r="G19" s="61">
        <v>46093</v>
      </c>
      <c r="H19" s="32">
        <f t="shared" si="2"/>
        <v>1</v>
      </c>
      <c r="I19" s="2" t="s">
        <v>36</v>
      </c>
      <c r="J19" s="6"/>
      <c r="K19" s="1"/>
      <c r="L19" s="41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</row>
    <row r="20" spans="1:258" s="7" customFormat="1" ht="24.95" customHeight="1" outlineLevel="1" x14ac:dyDescent="0.25">
      <c r="A20" s="6"/>
      <c r="B20" s="2" t="s">
        <v>52</v>
      </c>
      <c r="C20" s="10" t="s">
        <v>74</v>
      </c>
      <c r="D20" s="3" t="s">
        <v>16</v>
      </c>
      <c r="E20" s="4" t="s">
        <v>20</v>
      </c>
      <c r="F20" s="61">
        <v>46094</v>
      </c>
      <c r="G20" s="64">
        <v>46095</v>
      </c>
      <c r="H20" s="32">
        <f t="shared" si="2"/>
        <v>2</v>
      </c>
      <c r="I20" s="2" t="s">
        <v>53</v>
      </c>
      <c r="J20" s="6"/>
      <c r="K20" s="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</row>
    <row r="21" spans="1:258" s="7" customFormat="1" ht="24.95" customHeight="1" outlineLevel="1" thickBot="1" x14ac:dyDescent="0.3">
      <c r="A21" s="6"/>
      <c r="B21" s="12" t="s">
        <v>54</v>
      </c>
      <c r="C21" s="11" t="s">
        <v>75</v>
      </c>
      <c r="D21" s="3" t="s">
        <v>16</v>
      </c>
      <c r="E21" s="4" t="s">
        <v>20</v>
      </c>
      <c r="F21" s="65">
        <v>46096</v>
      </c>
      <c r="G21" s="66">
        <v>46098</v>
      </c>
      <c r="H21" s="32">
        <f t="shared" si="2"/>
        <v>3</v>
      </c>
      <c r="I21" s="2" t="s">
        <v>55</v>
      </c>
      <c r="J21" s="6"/>
      <c r="K21" s="1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</row>
    <row r="22" spans="1:258" s="7" customFormat="1" ht="24.95" customHeight="1" outlineLevel="1" x14ac:dyDescent="0.25">
      <c r="A22" s="6"/>
      <c r="B22" s="2" t="s">
        <v>56</v>
      </c>
      <c r="C22" s="10" t="s">
        <v>76</v>
      </c>
      <c r="D22" s="3" t="s">
        <v>16</v>
      </c>
      <c r="E22" s="4" t="s">
        <v>20</v>
      </c>
      <c r="F22" s="61">
        <v>46099</v>
      </c>
      <c r="G22" s="61">
        <v>46106</v>
      </c>
      <c r="H22" s="32">
        <f t="shared" si="2"/>
        <v>8</v>
      </c>
      <c r="I22" s="2" t="s">
        <v>57</v>
      </c>
      <c r="J22" s="6"/>
      <c r="K22" s="1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</row>
    <row r="23" spans="1:258" s="7" customFormat="1" ht="27" customHeight="1" x14ac:dyDescent="0.25">
      <c r="A23" s="6"/>
      <c r="B23" s="17">
        <v>3</v>
      </c>
      <c r="C23" s="17" t="s">
        <v>102</v>
      </c>
      <c r="D23" s="46" t="s">
        <v>17</v>
      </c>
      <c r="E23" s="19" t="s">
        <v>20</v>
      </c>
      <c r="F23" s="67">
        <v>46107</v>
      </c>
      <c r="G23" s="68">
        <v>46152</v>
      </c>
      <c r="H23" s="20">
        <f>IF(F23=0,0,G23-F23)+1</f>
        <v>46</v>
      </c>
      <c r="I23" s="15"/>
      <c r="J23" s="6"/>
      <c r="K23" s="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</row>
    <row r="24" spans="1:258" s="7" customFormat="1" ht="24.95" customHeight="1" outlineLevel="1" x14ac:dyDescent="0.25">
      <c r="A24" s="6"/>
      <c r="B24" s="2" t="s">
        <v>26</v>
      </c>
      <c r="C24" s="10" t="s">
        <v>77</v>
      </c>
      <c r="D24" s="3" t="s">
        <v>16</v>
      </c>
      <c r="E24" s="4" t="s">
        <v>20</v>
      </c>
      <c r="F24" s="61">
        <v>46107</v>
      </c>
      <c r="G24" s="61">
        <v>46109</v>
      </c>
      <c r="H24" s="54">
        <v>3</v>
      </c>
      <c r="I24" s="2"/>
      <c r="J24" s="6"/>
      <c r="K24" s="1"/>
      <c r="L24" s="41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</row>
    <row r="25" spans="1:258" s="7" customFormat="1" ht="24.95" customHeight="1" outlineLevel="1" x14ac:dyDescent="0.25">
      <c r="A25" s="6"/>
      <c r="B25" s="2" t="s">
        <v>27</v>
      </c>
      <c r="C25" s="10" t="s">
        <v>78</v>
      </c>
      <c r="D25" s="3" t="s">
        <v>16</v>
      </c>
      <c r="E25" s="4" t="s">
        <v>20</v>
      </c>
      <c r="F25" s="61">
        <v>46110</v>
      </c>
      <c r="G25" s="64">
        <v>46112</v>
      </c>
      <c r="H25" s="54">
        <v>3</v>
      </c>
      <c r="I25" s="2" t="s">
        <v>37</v>
      </c>
      <c r="J25" s="6"/>
      <c r="K25" s="1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</row>
    <row r="26" spans="1:258" s="7" customFormat="1" ht="24.95" customHeight="1" outlineLevel="1" thickBot="1" x14ac:dyDescent="0.3">
      <c r="A26" s="6"/>
      <c r="B26" s="12" t="s">
        <v>0</v>
      </c>
      <c r="C26" s="11" t="s">
        <v>79</v>
      </c>
      <c r="D26" s="3" t="s">
        <v>16</v>
      </c>
      <c r="E26" s="4" t="s">
        <v>20</v>
      </c>
      <c r="F26" s="65">
        <v>46113</v>
      </c>
      <c r="G26" s="66">
        <v>46114</v>
      </c>
      <c r="H26" s="54">
        <v>2</v>
      </c>
      <c r="I26" s="2" t="s">
        <v>38</v>
      </c>
      <c r="J26" s="6"/>
      <c r="K26" s="1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</row>
    <row r="27" spans="1:258" s="7" customFormat="1" ht="24.95" customHeight="1" outlineLevel="1" x14ac:dyDescent="0.25">
      <c r="A27" s="6"/>
      <c r="B27" s="2" t="s">
        <v>1</v>
      </c>
      <c r="C27" s="10" t="s">
        <v>103</v>
      </c>
      <c r="D27" s="3" t="s">
        <v>17</v>
      </c>
      <c r="E27" s="4" t="s">
        <v>20</v>
      </c>
      <c r="F27" s="61">
        <v>46115</v>
      </c>
      <c r="G27" s="61">
        <v>46152</v>
      </c>
      <c r="H27" s="54">
        <v>38</v>
      </c>
      <c r="I27" s="2" t="s">
        <v>40</v>
      </c>
      <c r="J27" s="6"/>
      <c r="K27" s="1"/>
      <c r="L27" s="41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</row>
    <row r="28" spans="1:258" s="7" customFormat="1" ht="24.95" customHeight="1" outlineLevel="1" x14ac:dyDescent="0.25">
      <c r="A28" s="6"/>
      <c r="B28" s="2" t="s">
        <v>80</v>
      </c>
      <c r="C28" s="10" t="s">
        <v>104</v>
      </c>
      <c r="D28" s="3" t="s">
        <v>18</v>
      </c>
      <c r="E28" s="4" t="s">
        <v>20</v>
      </c>
      <c r="F28" s="61">
        <v>46153</v>
      </c>
      <c r="G28" s="64">
        <v>46155</v>
      </c>
      <c r="H28" s="54">
        <v>3</v>
      </c>
      <c r="I28" s="2" t="s">
        <v>39</v>
      </c>
      <c r="J28" s="6"/>
      <c r="K28" s="1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</row>
    <row r="29" spans="1:258" s="7" customFormat="1" ht="24.95" customHeight="1" outlineLevel="1" thickBot="1" x14ac:dyDescent="0.3">
      <c r="A29" s="6"/>
      <c r="B29" s="12" t="s">
        <v>81</v>
      </c>
      <c r="C29" s="11" t="s">
        <v>105</v>
      </c>
      <c r="D29" s="3" t="s">
        <v>17</v>
      </c>
      <c r="E29" s="4" t="s">
        <v>20</v>
      </c>
      <c r="F29" s="65">
        <v>46156</v>
      </c>
      <c r="G29" s="66">
        <v>46158</v>
      </c>
      <c r="H29" s="54">
        <v>3</v>
      </c>
      <c r="I29" s="2" t="s">
        <v>82</v>
      </c>
      <c r="J29" s="6"/>
      <c r="K29" s="1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</row>
    <row r="30" spans="1:258" s="7" customFormat="1" ht="24.95" customHeight="1" outlineLevel="1" x14ac:dyDescent="0.25">
      <c r="A30" s="6"/>
      <c r="B30" s="2" t="s">
        <v>83</v>
      </c>
      <c r="C30" s="10" t="s">
        <v>106</v>
      </c>
      <c r="D30" s="3" t="s">
        <v>17</v>
      </c>
      <c r="E30" s="4" t="s">
        <v>20</v>
      </c>
      <c r="F30" s="61">
        <v>46159</v>
      </c>
      <c r="G30" s="61">
        <v>46161</v>
      </c>
      <c r="H30" s="54">
        <v>3</v>
      </c>
      <c r="I30" s="2" t="s">
        <v>84</v>
      </c>
      <c r="J30" s="6"/>
      <c r="K30" s="1"/>
      <c r="L30" s="41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</row>
    <row r="31" spans="1:258" s="7" customFormat="1" ht="24.95" customHeight="1" outlineLevel="1" x14ac:dyDescent="0.25">
      <c r="A31" s="6"/>
      <c r="B31" s="2" t="s">
        <v>107</v>
      </c>
      <c r="C31" s="10" t="s">
        <v>108</v>
      </c>
      <c r="D31" s="3" t="s">
        <v>58</v>
      </c>
      <c r="E31" s="4" t="s">
        <v>20</v>
      </c>
      <c r="F31" s="61">
        <v>46162</v>
      </c>
      <c r="G31" s="61">
        <v>46163</v>
      </c>
      <c r="H31" s="54">
        <v>2</v>
      </c>
      <c r="I31" s="2" t="s">
        <v>85</v>
      </c>
      <c r="J31" s="6"/>
      <c r="K31" s="1"/>
      <c r="L31" s="41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</row>
    <row r="32" spans="1:258" s="7" customFormat="1" ht="24.95" customHeight="1" outlineLevel="1" x14ac:dyDescent="0.25">
      <c r="A32" s="6"/>
      <c r="B32" s="2" t="s">
        <v>109</v>
      </c>
      <c r="C32" s="10" t="s">
        <v>110</v>
      </c>
      <c r="D32" s="3" t="s">
        <v>58</v>
      </c>
      <c r="E32" s="4" t="s">
        <v>20</v>
      </c>
      <c r="F32" s="61">
        <v>46164</v>
      </c>
      <c r="G32" s="64">
        <v>46166</v>
      </c>
      <c r="H32" s="54">
        <v>3</v>
      </c>
      <c r="I32" s="2" t="s">
        <v>113</v>
      </c>
      <c r="J32" s="6"/>
      <c r="K32" s="1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</row>
    <row r="33" spans="1:258" s="7" customFormat="1" ht="24.95" customHeight="1" outlineLevel="1" thickBot="1" x14ac:dyDescent="0.3">
      <c r="A33" s="6"/>
      <c r="B33" s="12" t="s">
        <v>111</v>
      </c>
      <c r="C33" s="11" t="s">
        <v>112</v>
      </c>
      <c r="D33" s="3" t="s">
        <v>58</v>
      </c>
      <c r="E33" s="4" t="s">
        <v>20</v>
      </c>
      <c r="F33" s="65">
        <v>46167</v>
      </c>
      <c r="G33" s="66">
        <v>46168</v>
      </c>
      <c r="H33" s="54">
        <v>2</v>
      </c>
      <c r="I33" s="2" t="s">
        <v>114</v>
      </c>
      <c r="J33" s="6"/>
      <c r="K33" s="1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</row>
    <row r="34" spans="1:258" s="7" customFormat="1" ht="24.95" customHeight="1" outlineLevel="1" x14ac:dyDescent="0.25">
      <c r="A34" s="6"/>
      <c r="B34" s="49">
        <v>4</v>
      </c>
      <c r="C34" s="49" t="s">
        <v>115</v>
      </c>
      <c r="D34" s="50" t="s">
        <v>17</v>
      </c>
      <c r="E34" s="51" t="s">
        <v>20</v>
      </c>
      <c r="F34" s="69">
        <v>46133</v>
      </c>
      <c r="G34" s="70">
        <v>46172</v>
      </c>
      <c r="H34" s="52">
        <f>IF(F34=0,0,G34-F34)+1</f>
        <v>40</v>
      </c>
      <c r="I34" s="53"/>
      <c r="J34" s="6"/>
      <c r="K34" s="1"/>
      <c r="L34" s="41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</row>
    <row r="35" spans="1:258" s="7" customFormat="1" ht="24.95" customHeight="1" outlineLevel="1" x14ac:dyDescent="0.25">
      <c r="A35" s="6"/>
      <c r="B35" s="2" t="s">
        <v>28</v>
      </c>
      <c r="C35" s="10" t="s">
        <v>86</v>
      </c>
      <c r="D35" s="3" t="s">
        <v>16</v>
      </c>
      <c r="E35" s="4" t="s">
        <v>20</v>
      </c>
      <c r="F35" s="61">
        <v>46133</v>
      </c>
      <c r="G35" s="64">
        <v>46134</v>
      </c>
      <c r="H35" s="55">
        <v>2</v>
      </c>
      <c r="I35" s="2"/>
      <c r="J35" s="6"/>
      <c r="K35" s="1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</row>
    <row r="36" spans="1:258" s="7" customFormat="1" ht="24.95" customHeight="1" outlineLevel="1" x14ac:dyDescent="0.25">
      <c r="A36" s="6"/>
      <c r="B36" s="2" t="s">
        <v>29</v>
      </c>
      <c r="C36" s="10" t="s">
        <v>87</v>
      </c>
      <c r="D36" s="3" t="s">
        <v>17</v>
      </c>
      <c r="E36" s="4" t="s">
        <v>20</v>
      </c>
      <c r="F36" s="61">
        <v>46135</v>
      </c>
      <c r="G36" s="64">
        <v>46147</v>
      </c>
      <c r="H36" s="55">
        <v>10</v>
      </c>
      <c r="I36" s="2" t="s">
        <v>41</v>
      </c>
      <c r="J36" s="6"/>
      <c r="K36" s="1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</row>
    <row r="37" spans="1:258" s="7" customFormat="1" ht="27" customHeight="1" x14ac:dyDescent="0.25">
      <c r="A37" s="6"/>
      <c r="B37" s="2" t="s">
        <v>60</v>
      </c>
      <c r="C37" s="10" t="s">
        <v>116</v>
      </c>
      <c r="D37" s="3" t="s">
        <v>16</v>
      </c>
      <c r="E37" s="4" t="s">
        <v>20</v>
      </c>
      <c r="F37" s="61">
        <v>46148</v>
      </c>
      <c r="G37" s="64">
        <v>46152</v>
      </c>
      <c r="H37" s="55">
        <v>5</v>
      </c>
      <c r="I37" s="2" t="s">
        <v>61</v>
      </c>
      <c r="J37" s="6"/>
      <c r="K37" s="1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</row>
    <row r="38" spans="1:258" s="7" customFormat="1" ht="24.95" customHeight="1" outlineLevel="1" thickBot="1" x14ac:dyDescent="0.3">
      <c r="A38" s="6"/>
      <c r="B38" s="12" t="s">
        <v>62</v>
      </c>
      <c r="C38" s="11" t="s">
        <v>117</v>
      </c>
      <c r="D38" s="3" t="s">
        <v>17</v>
      </c>
      <c r="E38" s="4" t="s">
        <v>20</v>
      </c>
      <c r="F38" s="65">
        <v>46153</v>
      </c>
      <c r="G38" s="66">
        <v>46157</v>
      </c>
      <c r="H38" s="55">
        <v>5</v>
      </c>
      <c r="I38" s="2" t="s">
        <v>63</v>
      </c>
      <c r="J38" s="6"/>
      <c r="K38" s="1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</row>
    <row r="39" spans="1:258" s="7" customFormat="1" ht="24.95" customHeight="1" outlineLevel="1" x14ac:dyDescent="0.25">
      <c r="A39" s="6"/>
      <c r="B39" s="2" t="s">
        <v>88</v>
      </c>
      <c r="C39" s="10" t="s">
        <v>118</v>
      </c>
      <c r="D39" s="3" t="s">
        <v>17</v>
      </c>
      <c r="E39" s="4" t="s">
        <v>20</v>
      </c>
      <c r="F39" s="61">
        <v>46158</v>
      </c>
      <c r="G39" s="64">
        <v>46162</v>
      </c>
      <c r="H39" s="55">
        <v>5</v>
      </c>
      <c r="I39" s="2" t="s">
        <v>89</v>
      </c>
      <c r="J39" s="6"/>
      <c r="K39" s="1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</row>
    <row r="40" spans="1:258" s="7" customFormat="1" ht="33.75" outlineLevel="1" thickBot="1" x14ac:dyDescent="0.3">
      <c r="A40" s="6"/>
      <c r="B40" s="12" t="s">
        <v>90</v>
      </c>
      <c r="C40" s="11" t="s">
        <v>119</v>
      </c>
      <c r="D40" s="3" t="s">
        <v>17</v>
      </c>
      <c r="E40" s="4" t="s">
        <v>20</v>
      </c>
      <c r="F40" s="65">
        <v>46163</v>
      </c>
      <c r="G40" s="66">
        <v>46166</v>
      </c>
      <c r="H40" s="55">
        <v>4</v>
      </c>
      <c r="I40" s="2" t="s">
        <v>91</v>
      </c>
      <c r="J40" s="6"/>
      <c r="K40" s="1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</row>
    <row r="41" spans="1:258" s="7" customFormat="1" ht="24.95" customHeight="1" outlineLevel="1" x14ac:dyDescent="0.25">
      <c r="A41" s="6"/>
      <c r="B41" s="2" t="s">
        <v>92</v>
      </c>
      <c r="C41" s="10" t="s">
        <v>120</v>
      </c>
      <c r="D41" s="3" t="s">
        <v>17</v>
      </c>
      <c r="E41" s="4" t="s">
        <v>20</v>
      </c>
      <c r="F41" s="61">
        <v>46167</v>
      </c>
      <c r="G41" s="64">
        <v>46170</v>
      </c>
      <c r="H41" s="55">
        <v>4</v>
      </c>
      <c r="I41" s="2" t="s">
        <v>93</v>
      </c>
      <c r="J41" s="6"/>
      <c r="K41" s="1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</row>
    <row r="42" spans="1:258" s="7" customFormat="1" ht="24.95" customHeight="1" outlineLevel="1" x14ac:dyDescent="0.25">
      <c r="A42" s="6"/>
      <c r="B42" s="2" t="s">
        <v>121</v>
      </c>
      <c r="C42" s="10" t="s">
        <v>101</v>
      </c>
      <c r="D42" s="3" t="s">
        <v>58</v>
      </c>
      <c r="E42" s="4" t="s">
        <v>20</v>
      </c>
      <c r="F42" s="61">
        <v>46171</v>
      </c>
      <c r="G42" s="64">
        <v>46172</v>
      </c>
      <c r="H42" s="55">
        <v>2</v>
      </c>
      <c r="I42" s="2" t="s">
        <v>95</v>
      </c>
      <c r="J42" s="6"/>
      <c r="K42" s="1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</row>
    <row r="43" spans="1:258" s="7" customFormat="1" ht="24.95" customHeight="1" outlineLevel="1" x14ac:dyDescent="0.25">
      <c r="A43" s="6"/>
      <c r="B43" s="18">
        <v>5</v>
      </c>
      <c r="C43" s="18" t="s">
        <v>122</v>
      </c>
      <c r="D43" s="47" t="s">
        <v>18</v>
      </c>
      <c r="E43" s="21" t="s">
        <v>20</v>
      </c>
      <c r="F43" s="71">
        <v>46169</v>
      </c>
      <c r="G43" s="72">
        <v>46172</v>
      </c>
      <c r="H43" s="22">
        <f>IF(F43=0,0,G43-F43)+1</f>
        <v>4</v>
      </c>
      <c r="I43" s="16"/>
      <c r="J43" s="6"/>
      <c r="K43" s="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</row>
    <row r="44" spans="1:258" s="7" customFormat="1" ht="24.95" customHeight="1" outlineLevel="1" x14ac:dyDescent="0.25">
      <c r="A44" s="6"/>
      <c r="B44" s="2" t="s">
        <v>94</v>
      </c>
      <c r="C44" s="10" t="s">
        <v>123</v>
      </c>
      <c r="D44" s="3" t="s">
        <v>58</v>
      </c>
      <c r="E44" s="4" t="s">
        <v>20</v>
      </c>
      <c r="F44" s="61">
        <v>46169</v>
      </c>
      <c r="G44" s="64">
        <v>46170</v>
      </c>
      <c r="H44" s="48">
        <v>2</v>
      </c>
      <c r="I44" s="2" t="s">
        <v>124</v>
      </c>
      <c r="J44" s="6"/>
      <c r="K44" s="1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</row>
    <row r="45" spans="1:258" s="7" customFormat="1" ht="36" customHeight="1" x14ac:dyDescent="0.25">
      <c r="A45" s="6"/>
      <c r="B45" s="2" t="s">
        <v>96</v>
      </c>
      <c r="C45" s="10" t="s">
        <v>125</v>
      </c>
      <c r="D45" s="3" t="s">
        <v>58</v>
      </c>
      <c r="E45" s="4" t="s">
        <v>20</v>
      </c>
      <c r="F45" s="61">
        <v>46171</v>
      </c>
      <c r="G45" s="64">
        <v>46171</v>
      </c>
      <c r="H45" s="48">
        <v>1</v>
      </c>
      <c r="I45" s="2" t="s">
        <v>97</v>
      </c>
      <c r="J45" s="6"/>
      <c r="K45" s="1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</row>
    <row r="46" spans="1:258" s="7" customFormat="1" ht="24.95" customHeight="1" outlineLevel="1" x14ac:dyDescent="0.25">
      <c r="A46" s="6"/>
      <c r="B46" s="2" t="s">
        <v>98</v>
      </c>
      <c r="C46" s="10" t="s">
        <v>126</v>
      </c>
      <c r="D46" s="3" t="s">
        <v>58</v>
      </c>
      <c r="E46" s="4" t="s">
        <v>20</v>
      </c>
      <c r="F46" s="61">
        <v>46172</v>
      </c>
      <c r="G46" s="64">
        <v>46172</v>
      </c>
      <c r="H46" s="48">
        <v>1</v>
      </c>
      <c r="I46" s="2" t="s">
        <v>99</v>
      </c>
      <c r="J46" s="6"/>
      <c r="K46" s="1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</row>
    <row r="47" spans="1:258" s="7" customFormat="1" ht="24.95" customHeight="1" outlineLevel="1" x14ac:dyDescent="0.25">
      <c r="A47" s="6"/>
      <c r="B47" s="75">
        <v>5</v>
      </c>
      <c r="C47" s="75" t="s">
        <v>127</v>
      </c>
      <c r="D47" s="76" t="s">
        <v>58</v>
      </c>
      <c r="E47" s="77" t="s">
        <v>20</v>
      </c>
      <c r="F47" s="78">
        <v>46174</v>
      </c>
      <c r="G47" s="79">
        <v>46264</v>
      </c>
      <c r="H47" s="80">
        <f>IF(F47=0,0,G47-F47)+1</f>
        <v>91</v>
      </c>
      <c r="I47" s="81"/>
      <c r="J47" s="6"/>
      <c r="K47" s="1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</row>
    <row r="48" spans="1:258" s="7" customFormat="1" ht="24.95" customHeight="1" outlineLevel="1" x14ac:dyDescent="0.25">
      <c r="A48" s="6"/>
      <c r="B48" s="2" t="s">
        <v>128</v>
      </c>
      <c r="C48" s="10" t="s">
        <v>129</v>
      </c>
      <c r="D48" s="3" t="s">
        <v>58</v>
      </c>
      <c r="E48" s="4" t="s">
        <v>20</v>
      </c>
      <c r="F48" s="61">
        <v>46174</v>
      </c>
      <c r="G48" s="64">
        <v>46178</v>
      </c>
      <c r="H48" s="48">
        <v>5</v>
      </c>
      <c r="I48" s="2" t="s">
        <v>100</v>
      </c>
      <c r="J48" s="6"/>
      <c r="K48" s="1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</row>
    <row r="49" spans="1:258" s="7" customFormat="1" ht="24.95" customHeight="1" outlineLevel="1" x14ac:dyDescent="0.25">
      <c r="A49" s="6"/>
      <c r="B49" s="2" t="s">
        <v>130</v>
      </c>
      <c r="C49" s="10" t="s">
        <v>131</v>
      </c>
      <c r="D49" s="3" t="s">
        <v>58</v>
      </c>
      <c r="E49" s="4" t="s">
        <v>20</v>
      </c>
      <c r="F49" s="61">
        <v>46179</v>
      </c>
      <c r="G49" s="64">
        <v>46193</v>
      </c>
      <c r="H49" s="48">
        <v>15</v>
      </c>
      <c r="I49" s="2" t="s">
        <v>132</v>
      </c>
      <c r="J49" s="6"/>
      <c r="K49" s="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</row>
    <row r="50" spans="1:258" s="7" customFormat="1" ht="24.95" customHeight="1" outlineLevel="1" x14ac:dyDescent="0.25">
      <c r="A50" s="6"/>
      <c r="B50" s="2" t="s">
        <v>133</v>
      </c>
      <c r="C50" s="10" t="s">
        <v>134</v>
      </c>
      <c r="D50" s="3" t="s">
        <v>58</v>
      </c>
      <c r="E50" s="4" t="s">
        <v>20</v>
      </c>
      <c r="F50" s="61">
        <v>46194</v>
      </c>
      <c r="G50" s="64">
        <v>46208</v>
      </c>
      <c r="H50" s="48">
        <v>15</v>
      </c>
      <c r="I50" s="2" t="s">
        <v>135</v>
      </c>
      <c r="J50" s="6"/>
      <c r="K50" s="1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</row>
    <row r="51" spans="1:258" s="7" customFormat="1" ht="24.95" customHeight="1" outlineLevel="1" x14ac:dyDescent="0.25">
      <c r="A51" s="6"/>
      <c r="B51" s="2" t="s">
        <v>136</v>
      </c>
      <c r="C51" s="10" t="s">
        <v>137</v>
      </c>
      <c r="D51" s="3" t="s">
        <v>58</v>
      </c>
      <c r="E51" s="4" t="s">
        <v>20</v>
      </c>
      <c r="F51" s="61">
        <v>46209</v>
      </c>
      <c r="G51" s="64">
        <v>46218</v>
      </c>
      <c r="H51" s="48">
        <v>10</v>
      </c>
      <c r="I51" s="2" t="s">
        <v>138</v>
      </c>
      <c r="J51" s="6"/>
      <c r="K51" s="1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</row>
    <row r="52" spans="1:258" s="7" customFormat="1" ht="24.95" customHeight="1" outlineLevel="1" x14ac:dyDescent="0.25">
      <c r="A52" s="6"/>
      <c r="B52" s="2" t="s">
        <v>139</v>
      </c>
      <c r="C52" s="10" t="s">
        <v>140</v>
      </c>
      <c r="D52" s="3" t="s">
        <v>58</v>
      </c>
      <c r="E52" s="4" t="s">
        <v>20</v>
      </c>
      <c r="F52" s="61">
        <v>46250</v>
      </c>
      <c r="G52" s="64">
        <v>46259</v>
      </c>
      <c r="H52" s="48">
        <v>10</v>
      </c>
      <c r="I52" s="2" t="s">
        <v>141</v>
      </c>
      <c r="J52" s="6"/>
      <c r="K52" s="1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</row>
    <row r="53" spans="1:258" ht="16.5" x14ac:dyDescent="0.25">
      <c r="A53" s="1"/>
      <c r="B53" s="2" t="s">
        <v>142</v>
      </c>
      <c r="C53" s="10" t="s">
        <v>143</v>
      </c>
      <c r="D53" s="3" t="s">
        <v>58</v>
      </c>
      <c r="E53" s="4" t="s">
        <v>20</v>
      </c>
      <c r="F53" s="61">
        <v>46260</v>
      </c>
      <c r="G53" s="64">
        <v>46264</v>
      </c>
      <c r="H53" s="48">
        <v>5</v>
      </c>
      <c r="I53" s="2" t="s">
        <v>144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x14ac:dyDescent="0.25">
      <c r="A54" s="1"/>
      <c r="B54" s="1"/>
      <c r="C54" s="1"/>
      <c r="D54" s="1"/>
      <c r="E54" s="1"/>
      <c r="F54" s="73"/>
      <c r="G54" s="73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x14ac:dyDescent="0.25">
      <c r="A55" s="1"/>
      <c r="B55" s="1"/>
      <c r="C55" s="1"/>
      <c r="D55" s="1"/>
      <c r="E55" s="1"/>
      <c r="F55" s="73"/>
      <c r="G55" s="73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x14ac:dyDescent="0.25">
      <c r="A56" s="1"/>
      <c r="B56" s="1"/>
      <c r="C56" s="1"/>
      <c r="D56" s="1"/>
      <c r="E56" s="1"/>
      <c r="F56" s="73"/>
      <c r="G56" s="7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x14ac:dyDescent="0.25">
      <c r="A57" s="1"/>
      <c r="B57" s="1"/>
      <c r="C57" s="1"/>
      <c r="D57" s="1"/>
      <c r="E57" s="1"/>
      <c r="F57" s="73"/>
      <c r="G57" s="73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x14ac:dyDescent="0.25">
      <c r="A58" s="1"/>
      <c r="B58" s="1"/>
      <c r="C58" s="1"/>
      <c r="D58" s="1"/>
      <c r="E58" s="1"/>
      <c r="F58" s="73"/>
      <c r="G58" s="7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x14ac:dyDescent="0.25">
      <c r="A59" s="1"/>
      <c r="B59" s="1"/>
      <c r="C59" s="1"/>
      <c r="D59" s="1"/>
      <c r="E59" s="1"/>
      <c r="F59" s="73"/>
      <c r="G59" s="7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x14ac:dyDescent="0.25">
      <c r="A60" s="1"/>
      <c r="B60" s="1"/>
      <c r="C60" s="1"/>
      <c r="D60" s="1"/>
      <c r="E60" s="1"/>
      <c r="F60" s="56"/>
      <c r="G60" s="5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x14ac:dyDescent="0.25">
      <c r="A61" s="1"/>
      <c r="B61" s="1"/>
      <c r="C61" s="1"/>
      <c r="D61" s="1"/>
      <c r="E61" s="1"/>
      <c r="F61" s="56"/>
      <c r="G61" s="5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x14ac:dyDescent="0.25">
      <c r="A62" s="1"/>
      <c r="B62" s="1"/>
      <c r="C62" s="1"/>
      <c r="D62" s="1"/>
      <c r="E62" s="1"/>
      <c r="F62" s="56"/>
      <c r="G62" s="5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x14ac:dyDescent="0.25">
      <c r="A63" s="1"/>
      <c r="B63" s="1"/>
      <c r="C63" s="1"/>
      <c r="D63" s="1"/>
      <c r="E63" s="1"/>
      <c r="F63" s="56"/>
      <c r="G63" s="5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x14ac:dyDescent="0.25">
      <c r="A64" s="1"/>
      <c r="B64" s="1"/>
      <c r="C64" s="1"/>
      <c r="D64" s="1"/>
      <c r="E64" s="1"/>
      <c r="F64" s="56"/>
      <c r="G64" s="5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x14ac:dyDescent="0.25">
      <c r="A65" s="1"/>
      <c r="B65" s="1"/>
      <c r="C65" s="1"/>
      <c r="D65" s="1"/>
      <c r="E65" s="1"/>
      <c r="F65" s="56"/>
      <c r="G65" s="5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x14ac:dyDescent="0.25">
      <c r="A66" s="1"/>
      <c r="B66" s="1"/>
      <c r="C66" s="1"/>
      <c r="D66" s="1"/>
      <c r="E66" s="1"/>
      <c r="F66" s="56"/>
      <c r="G66" s="5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x14ac:dyDescent="0.25">
      <c r="A70" s="1"/>
      <c r="B70" s="1"/>
      <c r="C70" s="1"/>
      <c r="D70" s="1"/>
      <c r="E70" s="1"/>
      <c r="F70" s="73"/>
      <c r="G70" s="7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x14ac:dyDescent="0.25">
      <c r="A71" s="1"/>
      <c r="B71" s="1"/>
      <c r="C71" s="1"/>
      <c r="D71" s="1"/>
      <c r="E71" s="1"/>
      <c r="F71" s="73"/>
      <c r="G71" s="73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x14ac:dyDescent="0.25">
      <c r="A72" s="1"/>
      <c r="B72" s="1"/>
      <c r="C72" s="1"/>
      <c r="D72" s="1"/>
      <c r="E72" s="1"/>
      <c r="F72" s="73"/>
      <c r="G72" s="73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x14ac:dyDescent="0.25">
      <c r="A73" s="1"/>
      <c r="B73" s="1"/>
      <c r="C73" s="1"/>
      <c r="D73" s="1"/>
      <c r="E73" s="1"/>
      <c r="F73" s="73"/>
      <c r="G73" s="73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</row>
    <row r="75" spans="1:25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</row>
    <row r="76" spans="1:258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</row>
    <row r="77" spans="1:258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</row>
    <row r="78" spans="1:258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</row>
    <row r="79" spans="1:258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</row>
    <row r="80" spans="1:258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</row>
    <row r="81" spans="1:258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</row>
    <row r="82" spans="1:258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</row>
    <row r="83" spans="1:258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</row>
    <row r="84" spans="1:258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</row>
    <row r="85" spans="1:258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</row>
    <row r="86" spans="1:258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</row>
    <row r="87" spans="1:258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</row>
    <row r="88" spans="1:258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</row>
    <row r="89" spans="1:258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</row>
    <row r="90" spans="1:258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</row>
    <row r="91" spans="1:258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</row>
    <row r="92" spans="1:258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</row>
    <row r="93" spans="1:258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</row>
    <row r="94" spans="1:258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</row>
    <row r="95" spans="1:258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</row>
    <row r="96" spans="1:258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</row>
    <row r="97" spans="1:258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</row>
    <row r="98" spans="1:258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</row>
    <row r="99" spans="1:258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</row>
    <row r="100" spans="1:258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</row>
    <row r="101" spans="1:258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</row>
    <row r="102" spans="1:258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</row>
    <row r="103" spans="1:258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</row>
    <row r="104" spans="1:258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</row>
    <row r="105" spans="1:258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</row>
    <row r="106" spans="1:258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</row>
    <row r="107" spans="1:258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</row>
    <row r="108" spans="1:258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</row>
    <row r="109" spans="1:258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</row>
    <row r="110" spans="1:258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</row>
    <row r="111" spans="1:258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</row>
    <row r="112" spans="1:258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</row>
    <row r="113" spans="1:258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</row>
    <row r="114" spans="1:258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</row>
    <row r="115" spans="1:258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</row>
    <row r="116" spans="1:258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</row>
    <row r="117" spans="1:258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</row>
    <row r="118" spans="1:258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</row>
    <row r="119" spans="1:258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</row>
    <row r="120" spans="1:258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</row>
    <row r="121" spans="1:258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</row>
    <row r="122" spans="1:258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</row>
    <row r="123" spans="1:258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</row>
    <row r="124" spans="1:258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</row>
    <row r="125" spans="1:258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</row>
    <row r="126" spans="1:258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</row>
    <row r="127" spans="1:258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</row>
    <row r="128" spans="1:258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</row>
    <row r="129" spans="1:258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</row>
    <row r="130" spans="1:258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</row>
    <row r="131" spans="1:258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</row>
    <row r="132" spans="1:258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</row>
    <row r="133" spans="1:258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</row>
    <row r="134" spans="1:258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</row>
    <row r="135" spans="1:258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</row>
    <row r="136" spans="1:258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</row>
    <row r="137" spans="1:258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</row>
    <row r="138" spans="1:258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</row>
    <row r="139" spans="1:258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</row>
    <row r="140" spans="1:258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</row>
    <row r="141" spans="1:258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</row>
    <row r="142" spans="1:258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</row>
    <row r="143" spans="1:258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</row>
    <row r="144" spans="1:258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</row>
    <row r="145" spans="1:258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</row>
    <row r="146" spans="1:258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</row>
    <row r="147" spans="1:258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</row>
    <row r="148" spans="1:258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</row>
    <row r="149" spans="1:258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</row>
    <row r="150" spans="1:258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</row>
    <row r="151" spans="1:258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</row>
    <row r="152" spans="1:258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</row>
    <row r="153" spans="1:258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</row>
    <row r="154" spans="1:258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</row>
    <row r="155" spans="1:258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</row>
    <row r="156" spans="1:258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</row>
    <row r="157" spans="1:258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</row>
    <row r="158" spans="1:258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</row>
    <row r="159" spans="1:258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</row>
    <row r="160" spans="1:258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</row>
    <row r="161" spans="1:258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</row>
    <row r="162" spans="1:258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</row>
    <row r="163" spans="1:258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</row>
    <row r="164" spans="1:258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</row>
    <row r="165" spans="1:258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</row>
    <row r="166" spans="1:258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</row>
    <row r="167" spans="1:258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</row>
    <row r="168" spans="1:258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</row>
    <row r="169" spans="1:258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</row>
    <row r="170" spans="1:258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</row>
    <row r="171" spans="1:258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</row>
    <row r="172" spans="1:258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</row>
    <row r="173" spans="1:258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</row>
    <row r="174" spans="1:258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</row>
    <row r="175" spans="1:258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</row>
    <row r="176" spans="1:258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</row>
    <row r="177" spans="1:258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</row>
    <row r="178" spans="1:258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</row>
    <row r="179" spans="1:258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</row>
    <row r="180" spans="1:258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</row>
    <row r="181" spans="1:258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</row>
    <row r="182" spans="1:258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</row>
    <row r="183" spans="1:258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</row>
    <row r="184" spans="1:258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</row>
    <row r="185" spans="1:258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</row>
    <row r="186" spans="1:258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</row>
    <row r="187" spans="1:258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</row>
    <row r="188" spans="1:258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</row>
    <row r="189" spans="1:258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</row>
    <row r="190" spans="1:258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</row>
    <row r="191" spans="1:258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</row>
    <row r="192" spans="1:258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</row>
    <row r="193" spans="1:258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</row>
    <row r="194" spans="1:258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</row>
    <row r="195" spans="1:258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</row>
    <row r="196" spans="1:258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</row>
    <row r="197" spans="1:258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</row>
    <row r="198" spans="1:258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</row>
    <row r="199" spans="1:258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</row>
    <row r="200" spans="1:258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</row>
    <row r="201" spans="1:258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</row>
    <row r="202" spans="1:258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</row>
    <row r="203" spans="1:258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</row>
    <row r="204" spans="1:258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</row>
    <row r="205" spans="1:258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</row>
    <row r="206" spans="1:258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</row>
    <row r="207" spans="1:258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</row>
    <row r="208" spans="1:258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</row>
    <row r="209" spans="1:258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</row>
    <row r="210" spans="1:258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</row>
    <row r="211" spans="1:258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</row>
    <row r="212" spans="1:258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</row>
    <row r="213" spans="1:258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</row>
    <row r="214" spans="1:258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</row>
    <row r="215" spans="1:258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</row>
    <row r="216" spans="1:258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</row>
    <row r="217" spans="1:258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</row>
    <row r="218" spans="1:258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</row>
    <row r="219" spans="1:258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</row>
    <row r="220" spans="1:258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</row>
    <row r="221" spans="1:258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</row>
    <row r="222" spans="1:258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</row>
    <row r="223" spans="1:258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</row>
    <row r="224" spans="1:258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</row>
    <row r="225" spans="1:258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</row>
    <row r="226" spans="1:258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</row>
    <row r="227" spans="1:258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</row>
    <row r="228" spans="1:258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</row>
    <row r="229" spans="1:258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</row>
    <row r="230" spans="1:258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</row>
    <row r="231" spans="1:258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</row>
    <row r="232" spans="1:258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</row>
    <row r="233" spans="1:258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</row>
    <row r="234" spans="1:258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</row>
    <row r="235" spans="1:258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</row>
    <row r="236" spans="1:258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</row>
    <row r="237" spans="1:258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</row>
    <row r="238" spans="1:258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</row>
    <row r="239" spans="1:258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</row>
    <row r="240" spans="1:258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</row>
    <row r="241" spans="1:258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</row>
    <row r="242" spans="1:258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</row>
    <row r="243" spans="1:258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</row>
    <row r="244" spans="1:258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</row>
    <row r="245" spans="1:258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</row>
    <row r="246" spans="1:258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</row>
    <row r="247" spans="1:258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</row>
    <row r="248" spans="1:258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</row>
    <row r="249" spans="1:258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</row>
    <row r="250" spans="1:258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</row>
    <row r="251" spans="1:258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</row>
    <row r="252" spans="1:258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</row>
    <row r="253" spans="1:258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</row>
    <row r="254" spans="1:258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</row>
    <row r="255" spans="1:258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</row>
    <row r="256" spans="1:258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</row>
    <row r="257" spans="1:258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</row>
    <row r="258" spans="1:258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</row>
    <row r="259" spans="1:258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</row>
    <row r="260" spans="1:258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</row>
    <row r="261" spans="1:258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</row>
    <row r="262" spans="1:258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</row>
    <row r="263" spans="1:258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</row>
    <row r="264" spans="1:258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</row>
    <row r="265" spans="1:258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</row>
    <row r="266" spans="1:258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</row>
    <row r="267" spans="1:258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</row>
    <row r="268" spans="1:258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</row>
    <row r="269" spans="1:258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</row>
    <row r="270" spans="1:258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</row>
    <row r="271" spans="1:258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</row>
    <row r="272" spans="1:258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</row>
    <row r="273" spans="1:258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</row>
    <row r="274" spans="1:258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</row>
    <row r="275" spans="1:258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</row>
    <row r="276" spans="1:258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</row>
    <row r="277" spans="1:258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</row>
    <row r="278" spans="1:258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</row>
    <row r="279" spans="1:258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</row>
    <row r="280" spans="1:258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</row>
    <row r="281" spans="1:258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</row>
    <row r="282" spans="1:258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</row>
    <row r="283" spans="1:258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</row>
    <row r="284" spans="1:258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</row>
    <row r="285" spans="1:258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</row>
    <row r="286" spans="1:258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</row>
    <row r="287" spans="1:258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</row>
    <row r="288" spans="1:258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</row>
    <row r="289" spans="1:28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</row>
    <row r="290" spans="1:28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</row>
    <row r="291" spans="1:28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</row>
    <row r="292" spans="1:28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</row>
    <row r="293" spans="1:28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</row>
    <row r="294" spans="1:28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</row>
    <row r="295" spans="1:28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</row>
    <row r="296" spans="1:28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</row>
    <row r="297" spans="1:28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</row>
    <row r="298" spans="1:28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</row>
    <row r="299" spans="1:28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</row>
    <row r="300" spans="1:28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</row>
    <row r="301" spans="1:28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</row>
    <row r="302" spans="1:28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</row>
    <row r="303" spans="1:28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</row>
    <row r="304" spans="1:28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</row>
    <row r="305" spans="1:28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</row>
    <row r="306" spans="1:28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</row>
    <row r="307" spans="1:28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</row>
    <row r="308" spans="1:28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</row>
    <row r="309" spans="1:28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</row>
    <row r="310" spans="1:28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</row>
    <row r="311" spans="1:28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</row>
    <row r="312" spans="1:28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</row>
    <row r="313" spans="1:28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</row>
    <row r="314" spans="1:28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</row>
    <row r="315" spans="1:28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</row>
    <row r="316" spans="1:28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</row>
    <row r="317" spans="1:28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</row>
    <row r="318" spans="1:28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</row>
    <row r="319" spans="1:28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</row>
    <row r="320" spans="1:28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</row>
    <row r="321" spans="1:28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</row>
    <row r="322" spans="1:28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</row>
    <row r="323" spans="1:28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</row>
    <row r="324" spans="1:28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</row>
    <row r="325" spans="1:28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</row>
    <row r="326" spans="1:28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</row>
    <row r="327" spans="1:28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</row>
    <row r="328" spans="1:28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</row>
    <row r="329" spans="1:28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</row>
    <row r="330" spans="1:28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</row>
    <row r="331" spans="1:28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</row>
    <row r="332" spans="1:28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</row>
    <row r="333" spans="1:28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</row>
    <row r="334" spans="1:28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</row>
    <row r="335" spans="1:28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</row>
    <row r="336" spans="1:28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</row>
    <row r="337" spans="1:28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</row>
    <row r="338" spans="1:28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</row>
    <row r="339" spans="1:28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</row>
    <row r="340" spans="1:28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</row>
    <row r="341" spans="1:28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</row>
    <row r="342" spans="1:28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</row>
    <row r="343" spans="1:28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</row>
    <row r="344" spans="1:28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</row>
    <row r="345" spans="1:28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</row>
    <row r="346" spans="1:28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</row>
    <row r="347" spans="1:28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</row>
    <row r="348" spans="1:28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</row>
    <row r="349" spans="1:28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</row>
    <row r="350" spans="1:28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</row>
    <row r="351" spans="1:28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</row>
    <row r="352" spans="1:28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</row>
    <row r="353" spans="1:28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</row>
    <row r="354" spans="1:28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</row>
    <row r="355" spans="1:28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</row>
    <row r="356" spans="1:28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</row>
    <row r="357" spans="1:28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</row>
    <row r="358" spans="1:28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</row>
    <row r="359" spans="1:28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</row>
    <row r="360" spans="1:28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</row>
    <row r="361" spans="1:28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</row>
    <row r="362" spans="1:28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</row>
    <row r="363" spans="1:28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</row>
    <row r="364" spans="1:28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</row>
    <row r="365" spans="1:28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</row>
    <row r="366" spans="1:28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</row>
    <row r="367" spans="1:28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</row>
    <row r="368" spans="1:28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</row>
    <row r="369" spans="1:28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</row>
    <row r="370" spans="1:28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</row>
    <row r="371" spans="1:28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</row>
    <row r="372" spans="1:28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</row>
    <row r="373" spans="1:28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</row>
    <row r="374" spans="1:28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</row>
    <row r="375" spans="1:28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</row>
    <row r="376" spans="1:28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</row>
    <row r="377" spans="1:28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</row>
    <row r="378" spans="1:28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</row>
    <row r="379" spans="1:28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</row>
    <row r="380" spans="1:28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</row>
    <row r="381" spans="1:28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</row>
    <row r="382" spans="1:28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</row>
    <row r="383" spans="1:28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</row>
    <row r="384" spans="1:28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</row>
    <row r="385" spans="1:28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</row>
    <row r="386" spans="1:28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</row>
    <row r="387" spans="1:28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</row>
    <row r="388" spans="1:28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</row>
    <row r="389" spans="1:28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</row>
    <row r="390" spans="1:28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</row>
    <row r="391" spans="1:28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</row>
    <row r="392" spans="1:28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</row>
    <row r="393" spans="1:28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</row>
    <row r="394" spans="1:28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</row>
    <row r="395" spans="1:28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</row>
    <row r="396" spans="1:28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</row>
    <row r="397" spans="1:28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</row>
    <row r="398" spans="1:28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</row>
    <row r="399" spans="1:28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</row>
    <row r="400" spans="1:28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</row>
    <row r="401" spans="1:28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</row>
    <row r="402" spans="1:28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</row>
    <row r="403" spans="1:28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</row>
    <row r="404" spans="1:28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</row>
    <row r="405" spans="1:28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</row>
    <row r="406" spans="1:28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</row>
    <row r="407" spans="1:28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</row>
    <row r="408" spans="1:28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</row>
    <row r="409" spans="1:28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</row>
    <row r="410" spans="1:28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</row>
    <row r="411" spans="1:28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</row>
    <row r="412" spans="1:28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</row>
    <row r="413" spans="1:28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</row>
    <row r="414" spans="1:28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</row>
    <row r="415" spans="1:28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</row>
    <row r="416" spans="1:28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</row>
    <row r="417" spans="1:28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</row>
    <row r="418" spans="1:28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</row>
    <row r="419" spans="1:28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</row>
    <row r="420" spans="1:28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</row>
    <row r="421" spans="1:28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</row>
    <row r="422" spans="1:28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</row>
    <row r="423" spans="1:28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</row>
    <row r="424" spans="1:28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</row>
    <row r="425" spans="1:28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</row>
    <row r="426" spans="1:28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</row>
    <row r="427" spans="1:28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</row>
    <row r="428" spans="1:28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</row>
    <row r="429" spans="1:28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</row>
    <row r="430" spans="1:28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</row>
    <row r="431" spans="1:28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</row>
    <row r="432" spans="1:28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</row>
    <row r="433" spans="1:28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</row>
    <row r="434" spans="1:28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</row>
    <row r="435" spans="1:28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</row>
    <row r="436" spans="1:28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</row>
    <row r="437" spans="1:28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</row>
    <row r="438" spans="1:28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</row>
    <row r="439" spans="1:28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</row>
    <row r="440" spans="1:28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</row>
    <row r="441" spans="1:28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</row>
    <row r="442" spans="1:28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</row>
    <row r="443" spans="1:28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</row>
    <row r="444" spans="1:28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</row>
    <row r="445" spans="1:28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</row>
    <row r="446" spans="1:28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</row>
    <row r="447" spans="1:28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</row>
    <row r="448" spans="1:28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</row>
    <row r="449" spans="1:28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</row>
    <row r="450" spans="1:28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</row>
    <row r="451" spans="1:28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</row>
    <row r="452" spans="1:28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</row>
    <row r="453" spans="1:28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</row>
    <row r="454" spans="1:28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</row>
    <row r="455" spans="1:28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</row>
    <row r="456" spans="1:28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</row>
    <row r="457" spans="1:28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</row>
    <row r="458" spans="1:28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</row>
    <row r="459" spans="1:28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</row>
    <row r="460" spans="1:28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</row>
    <row r="461" spans="1:28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</row>
    <row r="462" spans="1:28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</row>
    <row r="463" spans="1:28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</row>
    <row r="464" spans="1:28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</row>
    <row r="465" spans="1:28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</row>
    <row r="466" spans="1:28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</row>
    <row r="467" spans="1:28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</row>
    <row r="468" spans="1:28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</row>
    <row r="469" spans="1:28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</row>
    <row r="470" spans="1:28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</row>
    <row r="471" spans="1:28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</row>
    <row r="472" spans="1:28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</row>
    <row r="473" spans="1:28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</row>
    <row r="474" spans="1:28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</row>
    <row r="475" spans="1:28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</row>
    <row r="476" spans="1:28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</row>
    <row r="477" spans="1:28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</row>
    <row r="478" spans="1:28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</row>
    <row r="479" spans="1:28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</row>
    <row r="480" spans="1:28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</row>
    <row r="481" spans="1:28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</row>
    <row r="482" spans="1:28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</row>
    <row r="483" spans="1:28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</row>
    <row r="484" spans="1:28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</row>
    <row r="485" spans="1:28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</row>
    <row r="486" spans="1:28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</row>
    <row r="487" spans="1:28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</row>
    <row r="488" spans="1:28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</row>
    <row r="489" spans="1:28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</row>
    <row r="490" spans="1:28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</row>
    <row r="491" spans="1:28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</row>
    <row r="492" spans="1:28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</row>
    <row r="493" spans="1:28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</row>
    <row r="494" spans="1:28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</row>
    <row r="495" spans="1:28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</row>
    <row r="496" spans="1:28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</row>
    <row r="497" spans="1:28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</row>
    <row r="498" spans="1:28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</row>
    <row r="499" spans="1:28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</row>
    <row r="500" spans="1:28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</row>
    <row r="501" spans="1:28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</row>
    <row r="502" spans="1:28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</row>
    <row r="503" spans="1:28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</row>
    <row r="504" spans="1:28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</row>
    <row r="505" spans="1:28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</row>
    <row r="506" spans="1:28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</row>
    <row r="507" spans="1:28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</row>
    <row r="508" spans="1:28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</row>
    <row r="509" spans="1:28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</row>
    <row r="510" spans="1:28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</row>
    <row r="511" spans="1:28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</row>
    <row r="512" spans="1:28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</row>
    <row r="513" spans="1:28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</row>
    <row r="514" spans="1:28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</row>
    <row r="515" spans="1:28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</row>
    <row r="516" spans="1:28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</row>
    <row r="517" spans="1:28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</row>
    <row r="518" spans="1:28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</row>
    <row r="519" spans="1:28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</row>
    <row r="520" spans="1:28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</row>
    <row r="521" spans="1:28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</row>
    <row r="522" spans="1:28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</row>
    <row r="523" spans="1:28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</row>
    <row r="524" spans="1:28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</row>
    <row r="525" spans="1:28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</row>
    <row r="526" spans="1:28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</row>
    <row r="527" spans="1:28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</row>
    <row r="528" spans="1:28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</row>
    <row r="529" spans="1:28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</row>
    <row r="530" spans="1:28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</row>
    <row r="531" spans="1:28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</row>
    <row r="532" spans="1:28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</row>
    <row r="533" spans="1:28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</row>
    <row r="534" spans="1:28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</row>
    <row r="535" spans="1:28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</row>
    <row r="536" spans="1:28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</row>
    <row r="537" spans="1:28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</row>
    <row r="538" spans="1:28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</row>
    <row r="539" spans="1:28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</row>
    <row r="540" spans="1:28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</row>
    <row r="541" spans="1:28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</row>
    <row r="542" spans="1:28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</row>
    <row r="543" spans="1:28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</row>
    <row r="544" spans="1:28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</row>
    <row r="545" spans="1:28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</row>
    <row r="546" spans="1:28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</row>
    <row r="547" spans="1:28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</row>
    <row r="548" spans="1:28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</row>
    <row r="549" spans="1:28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</row>
    <row r="550" spans="1:28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</row>
    <row r="551" spans="1:28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</row>
    <row r="552" spans="1:28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</row>
    <row r="553" spans="1:28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</row>
    <row r="554" spans="1:28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</row>
    <row r="555" spans="1:28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</row>
    <row r="556" spans="1:28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</row>
    <row r="557" spans="1:28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</row>
    <row r="558" spans="1:28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</row>
    <row r="559" spans="1:28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</row>
    <row r="560" spans="1:28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</row>
    <row r="561" spans="1:28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</row>
    <row r="562" spans="1:28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</row>
    <row r="563" spans="1:28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</row>
    <row r="564" spans="1:28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</row>
    <row r="565" spans="1:28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</row>
    <row r="566" spans="1:28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</row>
    <row r="567" spans="1:28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</row>
    <row r="568" spans="1:28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</row>
    <row r="569" spans="1:28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</row>
    <row r="570" spans="1:28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</row>
    <row r="571" spans="1:28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</row>
    <row r="572" spans="1:28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</row>
    <row r="573" spans="1:28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</row>
    <row r="574" spans="1:28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</row>
    <row r="575" spans="1:28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</row>
    <row r="576" spans="1:28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</row>
    <row r="577" spans="1:28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</row>
    <row r="578" spans="1:28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</row>
    <row r="579" spans="1:28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</row>
    <row r="580" spans="1:28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</row>
    <row r="581" spans="1:28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</row>
    <row r="582" spans="1:28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</row>
    <row r="583" spans="1:28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</row>
    <row r="584" spans="1:28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</row>
    <row r="585" spans="1:28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</row>
    <row r="586" spans="1:28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</row>
    <row r="587" spans="1:28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</row>
    <row r="588" spans="1:28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</row>
    <row r="589" spans="1:28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</row>
    <row r="590" spans="1:28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</row>
    <row r="591" spans="1:28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</row>
    <row r="592" spans="1:28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</row>
    <row r="593" spans="1:28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</row>
    <row r="594" spans="1:28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</row>
    <row r="595" spans="1:28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</row>
    <row r="596" spans="1:28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</row>
    <row r="597" spans="1:28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</row>
    <row r="598" spans="1:28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</row>
    <row r="599" spans="1:28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</row>
    <row r="600" spans="1:28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</row>
    <row r="601" spans="1:28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</row>
    <row r="602" spans="1:28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</row>
    <row r="603" spans="1:28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</row>
    <row r="604" spans="1:28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</row>
    <row r="605" spans="1:28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</row>
    <row r="606" spans="1:28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</row>
    <row r="607" spans="1:28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</row>
    <row r="608" spans="1:28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</row>
    <row r="609" spans="1:28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</row>
    <row r="610" spans="1:28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</row>
    <row r="611" spans="1:28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</row>
    <row r="612" spans="1:28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</row>
    <row r="613" spans="1:28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</row>
    <row r="614" spans="1:28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</row>
    <row r="615" spans="1:28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</row>
    <row r="616" spans="1:28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</row>
    <row r="617" spans="1:28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</row>
    <row r="618" spans="1:28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</row>
    <row r="619" spans="1:28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</row>
    <row r="620" spans="1:28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</row>
    <row r="621" spans="1:28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</row>
    <row r="622" spans="1:28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</row>
    <row r="623" spans="1:28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</row>
    <row r="624" spans="1:28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</row>
    <row r="625" spans="1:28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</row>
    <row r="626" spans="1:28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</row>
    <row r="627" spans="1:28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</row>
    <row r="628" spans="1:28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</row>
    <row r="629" spans="1:28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</row>
    <row r="630" spans="1:28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</row>
    <row r="631" spans="1:28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</row>
    <row r="632" spans="1:28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</row>
    <row r="633" spans="1:28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</row>
    <row r="634" spans="1:28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</row>
    <row r="635" spans="1:28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</row>
    <row r="636" spans="1:28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</row>
    <row r="637" spans="1:28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</row>
    <row r="638" spans="1:28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</row>
    <row r="639" spans="1:28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</row>
    <row r="640" spans="1:28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</row>
    <row r="641" spans="1:28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</row>
    <row r="642" spans="1:28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</row>
    <row r="643" spans="1:28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</row>
    <row r="644" spans="1:28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</row>
    <row r="645" spans="1:28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</row>
    <row r="646" spans="1:28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</row>
    <row r="647" spans="1:28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</row>
    <row r="648" spans="1:28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</row>
    <row r="649" spans="1:28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</row>
    <row r="650" spans="1:28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</row>
    <row r="651" spans="1:28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</row>
    <row r="652" spans="1:28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</row>
    <row r="653" spans="1:28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</row>
    <row r="654" spans="1:28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</row>
    <row r="655" spans="1:28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</row>
    <row r="656" spans="1:28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</row>
    <row r="657" spans="1:28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</row>
    <row r="658" spans="1:28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</row>
    <row r="659" spans="1:28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</row>
    <row r="660" spans="1:28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</row>
    <row r="661" spans="1:28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</row>
    <row r="662" spans="1:28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</row>
    <row r="663" spans="1:28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</row>
    <row r="664" spans="1:28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</row>
    <row r="665" spans="1:28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</row>
    <row r="666" spans="1:28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</row>
    <row r="667" spans="1:28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</row>
    <row r="668" spans="1:28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</row>
    <row r="669" spans="1:28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</row>
    <row r="670" spans="1:28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</row>
    <row r="671" spans="1:28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</row>
    <row r="672" spans="1:28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</row>
    <row r="673" spans="1:28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</row>
    <row r="674" spans="1:28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</row>
    <row r="675" spans="1:28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</row>
    <row r="676" spans="1:28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</row>
    <row r="677" spans="1:28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</row>
    <row r="678" spans="1:28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</row>
    <row r="679" spans="1:28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</row>
    <row r="680" spans="1:28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</row>
    <row r="681" spans="1:28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</row>
    <row r="682" spans="1:28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</row>
    <row r="683" spans="1:28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</row>
    <row r="684" spans="1:28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</row>
    <row r="685" spans="1:28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</row>
    <row r="686" spans="1:28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</row>
    <row r="687" spans="1:28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</row>
    <row r="688" spans="1:28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</row>
    <row r="689" spans="1:28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</row>
    <row r="690" spans="1:28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</row>
    <row r="691" spans="1:28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</row>
    <row r="692" spans="1:28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</row>
    <row r="693" spans="1:28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</row>
    <row r="694" spans="1:28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</row>
    <row r="695" spans="1:28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</row>
    <row r="696" spans="1:28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</row>
    <row r="697" spans="1:28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</row>
    <row r="698" spans="1:28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</row>
    <row r="699" spans="1:28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</row>
    <row r="700" spans="1:28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</row>
    <row r="701" spans="1:28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</row>
    <row r="702" spans="1:28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</row>
    <row r="703" spans="1:28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</row>
    <row r="704" spans="1:28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</row>
    <row r="705" spans="1:28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</row>
    <row r="706" spans="1:28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</row>
    <row r="707" spans="1:28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</row>
    <row r="708" spans="1:28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</row>
    <row r="709" spans="1:28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</row>
    <row r="710" spans="1:28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</row>
    <row r="711" spans="1:28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</row>
    <row r="712" spans="1:28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</row>
    <row r="713" spans="1:28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</row>
    <row r="714" spans="1:28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</row>
    <row r="715" spans="1:28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</row>
    <row r="716" spans="1:28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</row>
    <row r="717" spans="1:28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</row>
    <row r="718" spans="1:28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</row>
    <row r="719" spans="1:28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</row>
    <row r="720" spans="1:28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</row>
    <row r="721" spans="1:28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</row>
    <row r="722" spans="1:28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</row>
    <row r="723" spans="1:28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</row>
    <row r="724" spans="1:28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</row>
    <row r="725" spans="1:28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</row>
    <row r="726" spans="1:28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</row>
    <row r="727" spans="1:28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</row>
    <row r="728" spans="1:28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</row>
    <row r="729" spans="1:28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</row>
    <row r="730" spans="1:28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</row>
    <row r="731" spans="1:28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</row>
    <row r="732" spans="1:28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</row>
    <row r="733" spans="1:28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</row>
    <row r="734" spans="1:28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</row>
    <row r="735" spans="1:28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</row>
    <row r="736" spans="1:28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</row>
    <row r="737" spans="1:28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</row>
    <row r="738" spans="1:28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</row>
    <row r="739" spans="1:28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</row>
    <row r="740" spans="1:28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</row>
    <row r="741" spans="1:28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</row>
    <row r="742" spans="1:28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</row>
    <row r="743" spans="1:28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</row>
    <row r="744" spans="1:28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</row>
    <row r="745" spans="1:28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</row>
    <row r="746" spans="1:28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</row>
    <row r="747" spans="1:28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</row>
    <row r="748" spans="1:28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</row>
    <row r="749" spans="1:28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</row>
    <row r="750" spans="1:28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</row>
    <row r="751" spans="1:28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</row>
    <row r="752" spans="1:28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</row>
    <row r="753" spans="1:28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</row>
    <row r="754" spans="1:28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</row>
    <row r="755" spans="1:28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</row>
    <row r="756" spans="1:28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</row>
    <row r="757" spans="1:28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</row>
    <row r="758" spans="1:28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</row>
    <row r="759" spans="1:28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</row>
    <row r="760" spans="1:28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</row>
    <row r="761" spans="1:28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</row>
    <row r="762" spans="1:28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</row>
    <row r="763" spans="1:28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</row>
    <row r="764" spans="1:28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</row>
    <row r="765" spans="1:28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</row>
    <row r="766" spans="1:28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</row>
    <row r="767" spans="1:28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</row>
    <row r="768" spans="1:28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</row>
    <row r="769" spans="1:28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</row>
    <row r="770" spans="1:28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</row>
    <row r="771" spans="1:28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</row>
    <row r="772" spans="1:28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</row>
    <row r="773" spans="1:28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</row>
    <row r="774" spans="1:28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</row>
    <row r="775" spans="1:28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</row>
    <row r="776" spans="1:28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</row>
    <row r="777" spans="1:28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</row>
    <row r="778" spans="1:28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</row>
    <row r="779" spans="1:28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</row>
    <row r="780" spans="1:28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</row>
    <row r="781" spans="1:28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</row>
    <row r="782" spans="1:28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</row>
    <row r="783" spans="1:28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</row>
    <row r="784" spans="1:28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</row>
    <row r="785" spans="1:28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</row>
    <row r="786" spans="1:28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</row>
    <row r="787" spans="1:28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</row>
    <row r="788" spans="1:28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</row>
    <row r="789" spans="1:28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</row>
    <row r="790" spans="1:28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</row>
    <row r="791" spans="1:28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</row>
    <row r="792" spans="1:28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</row>
    <row r="793" spans="1:28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</row>
    <row r="794" spans="1:28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</row>
    <row r="795" spans="1:28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</row>
    <row r="796" spans="1:28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</row>
    <row r="797" spans="1:28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</row>
    <row r="798" spans="1:28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</row>
    <row r="799" spans="1:28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</row>
    <row r="800" spans="1:28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</row>
    <row r="801" spans="1:28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</row>
    <row r="802" spans="1:28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</row>
    <row r="803" spans="1:28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</row>
    <row r="804" spans="1:28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</row>
    <row r="805" spans="1:28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</row>
    <row r="806" spans="1:28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</row>
    <row r="807" spans="1:28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</row>
    <row r="808" spans="1:28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</row>
    <row r="809" spans="1:28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</row>
    <row r="810" spans="1:28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</row>
    <row r="811" spans="1:28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</row>
    <row r="812" spans="1:28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</row>
    <row r="813" spans="1:28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</row>
    <row r="814" spans="1:28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</row>
    <row r="815" spans="1:28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</row>
    <row r="816" spans="1:28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</row>
    <row r="817" spans="1:28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</row>
    <row r="818" spans="1:28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</row>
    <row r="819" spans="1:28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</row>
    <row r="820" spans="1:28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</row>
    <row r="821" spans="1:28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</row>
    <row r="822" spans="1:28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</row>
    <row r="823" spans="1:28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</row>
    <row r="824" spans="1:28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</row>
    <row r="825" spans="1:28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</row>
    <row r="826" spans="1:28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</row>
    <row r="827" spans="1:28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</row>
    <row r="828" spans="1:28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</row>
    <row r="829" spans="1:28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</row>
    <row r="830" spans="1:28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</row>
    <row r="831" spans="1:28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</row>
    <row r="832" spans="1:28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</row>
    <row r="833" spans="1:28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</row>
    <row r="834" spans="1:28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</row>
    <row r="835" spans="1:28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</row>
    <row r="836" spans="1:28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</row>
    <row r="837" spans="1:28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</row>
    <row r="838" spans="1:28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</row>
    <row r="839" spans="1:28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</row>
    <row r="840" spans="1:28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</row>
    <row r="841" spans="1:28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</row>
    <row r="842" spans="1:28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</row>
    <row r="843" spans="1:28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</row>
    <row r="844" spans="1:28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</row>
    <row r="845" spans="1:28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</row>
    <row r="846" spans="1:28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</row>
    <row r="847" spans="1:28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</row>
    <row r="848" spans="1:28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</row>
    <row r="849" spans="1:28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</row>
    <row r="850" spans="1:28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</row>
    <row r="851" spans="1:28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</row>
    <row r="852" spans="1:28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</row>
    <row r="853" spans="1:28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</row>
    <row r="854" spans="1:28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</row>
    <row r="855" spans="1:28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</row>
    <row r="856" spans="1:28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</row>
    <row r="857" spans="1:28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</row>
    <row r="858" spans="1:28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</row>
    <row r="859" spans="1:28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</row>
    <row r="860" spans="1:28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</row>
    <row r="861" spans="1:28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</row>
    <row r="862" spans="1:28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</row>
    <row r="863" spans="1:28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</row>
    <row r="864" spans="1:28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</row>
    <row r="865" spans="1:28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</row>
    <row r="866" spans="1:28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</row>
    <row r="867" spans="1:28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</row>
    <row r="868" spans="1:28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</row>
    <row r="869" spans="1:28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</row>
    <row r="870" spans="1:28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</row>
    <row r="871" spans="1:28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</row>
    <row r="872" spans="1:28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</row>
    <row r="873" spans="1:28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</row>
    <row r="874" spans="1:28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</row>
    <row r="875" spans="1:28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</row>
    <row r="876" spans="1:28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</row>
    <row r="877" spans="1:28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</row>
    <row r="878" spans="1:28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</row>
    <row r="879" spans="1:28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</row>
    <row r="880" spans="1:28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</row>
    <row r="881" spans="1:28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</row>
    <row r="882" spans="1:28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</row>
    <row r="883" spans="1:28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</row>
    <row r="884" spans="1:28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</row>
    <row r="885" spans="1:28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</row>
    <row r="886" spans="1:28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</row>
    <row r="887" spans="1:28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</row>
    <row r="888" spans="1:28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</row>
    <row r="889" spans="1:28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</row>
    <row r="890" spans="1:28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</row>
    <row r="891" spans="1:28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</row>
    <row r="892" spans="1:28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</row>
    <row r="893" spans="1:28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</row>
    <row r="894" spans="1:28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</row>
    <row r="895" spans="1:28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</row>
    <row r="896" spans="1:28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</row>
    <row r="897" spans="1:28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</row>
    <row r="898" spans="1:28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</row>
    <row r="899" spans="1:28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</row>
    <row r="900" spans="1:28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</row>
    <row r="901" spans="1:28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</row>
    <row r="902" spans="1:28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</row>
    <row r="903" spans="1:28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</row>
    <row r="904" spans="1:28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</row>
    <row r="905" spans="1:28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</row>
    <row r="906" spans="1:28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</row>
    <row r="907" spans="1:28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</row>
    <row r="908" spans="1:28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</row>
    <row r="909" spans="1:28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</row>
    <row r="910" spans="1:28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</row>
    <row r="911" spans="1:28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</row>
    <row r="912" spans="1:28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</row>
    <row r="913" spans="1:28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</row>
    <row r="914" spans="1:28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</row>
    <row r="915" spans="1:28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</row>
    <row r="916" spans="1:28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</row>
    <row r="917" spans="1:28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</row>
    <row r="918" spans="1:28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</row>
    <row r="919" spans="1:28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</row>
    <row r="920" spans="1:28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</row>
    <row r="921" spans="1:28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</row>
    <row r="922" spans="1:28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</row>
    <row r="923" spans="1:28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</row>
    <row r="924" spans="1:28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</row>
    <row r="925" spans="1:28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</row>
    <row r="926" spans="1:28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</row>
    <row r="927" spans="1:28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</row>
    <row r="928" spans="1:28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</row>
    <row r="929" spans="1:28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</row>
    <row r="930" spans="1:28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</row>
    <row r="931" spans="1:28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</row>
    <row r="932" spans="1:28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</row>
    <row r="933" spans="1:28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</row>
    <row r="934" spans="1:28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</row>
    <row r="935" spans="1:28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</row>
    <row r="936" spans="1:28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</row>
    <row r="937" spans="1:28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</row>
    <row r="938" spans="1:28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</row>
    <row r="939" spans="1:28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</row>
    <row r="940" spans="1:28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</row>
    <row r="941" spans="1:28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</row>
    <row r="942" spans="1:28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</row>
    <row r="943" spans="1:28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</row>
    <row r="944" spans="1:28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</row>
    <row r="945" spans="1:28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</row>
    <row r="946" spans="1:28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</row>
    <row r="947" spans="1:28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</row>
    <row r="948" spans="1:28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</row>
    <row r="949" spans="1:28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</row>
    <row r="950" spans="1:28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</row>
    <row r="951" spans="1:28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</row>
    <row r="952" spans="1:28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</row>
    <row r="953" spans="1:28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</row>
    <row r="954" spans="1:28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</row>
    <row r="955" spans="1:28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</row>
    <row r="956" spans="1:28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</row>
    <row r="957" spans="1:28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</row>
    <row r="958" spans="1:28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</row>
    <row r="959" spans="1:28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</row>
    <row r="960" spans="1:28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</row>
    <row r="961" spans="1:28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</row>
    <row r="962" spans="1:28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</row>
    <row r="963" spans="1:28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</row>
    <row r="964" spans="1:28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</row>
    <row r="965" spans="1:28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</row>
    <row r="966" spans="1:28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</row>
    <row r="967" spans="1:28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</row>
    <row r="968" spans="1:28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</row>
    <row r="969" spans="1:28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</row>
    <row r="970" spans="1:28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</row>
    <row r="971" spans="1:28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</row>
    <row r="972" spans="1:28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</row>
    <row r="973" spans="1:28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</row>
    <row r="974" spans="1:28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</row>
    <row r="975" spans="1:28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</row>
    <row r="976" spans="1:28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</row>
    <row r="977" spans="1:28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</row>
    <row r="978" spans="1:28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</row>
    <row r="979" spans="1:28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</row>
    <row r="980" spans="1:28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</row>
    <row r="981" spans="1:28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</row>
    <row r="982" spans="1:28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</row>
    <row r="983" spans="1:28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</row>
    <row r="984" spans="1:28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</row>
    <row r="985" spans="1:28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</row>
    <row r="986" spans="1:28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</row>
    <row r="987" spans="1:28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</row>
    <row r="988" spans="1:28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</row>
    <row r="989" spans="1:28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</row>
    <row r="990" spans="1:28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</row>
    <row r="991" spans="1:28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</row>
  </sheetData>
  <mergeCells count="1">
    <mergeCell ref="A1:H1"/>
  </mergeCells>
  <phoneticPr fontId="3" type="noConversion"/>
  <conditionalFormatting sqref="D8">
    <cfRule type="containsText" dxfId="19" priority="9" stopIfTrue="1" operator="containsText" text="On Hold">
      <formula>NOT(ISERROR(SEARCH("On Hold",D8)))</formula>
    </cfRule>
    <cfRule type="containsText" dxfId="18" priority="10" operator="containsText" text="Complete">
      <formula>NOT(ISERROR(SEARCH("Complete",D8)))</formula>
    </cfRule>
    <cfRule type="containsText" dxfId="17" priority="11" operator="containsText" text="In Progress">
      <formula>NOT(ISERROR(SEARCH("In Progress",D8)))</formula>
    </cfRule>
    <cfRule type="containsText" dxfId="16" priority="12" operator="containsText" text="Not Started">
      <formula>NOT(ISERROR(SEARCH("Not Started",D8)))</formula>
    </cfRule>
  </conditionalFormatting>
  <conditionalFormatting sqref="D9:D53">
    <cfRule type="cellIs" dxfId="15" priority="13" operator="equal">
      <formula>"En Espera"</formula>
    </cfRule>
    <cfRule type="cellIs" dxfId="14" priority="14" operator="equal">
      <formula>"En Progreso"</formula>
    </cfRule>
    <cfRule type="cellIs" dxfId="13" priority="15" operator="equal">
      <formula>"No Iniciado"</formula>
    </cfRule>
    <cfRule type="cellIs" dxfId="12" priority="16" operator="equal">
      <formula>"Completo"</formula>
    </cfRule>
    <cfRule type="containsText" dxfId="11" priority="49" operator="containsText" text="On Hold">
      <formula>NOT(ISERROR(SEARCH("On Hold",D9)))</formula>
    </cfRule>
    <cfRule type="containsText" dxfId="10" priority="50" operator="containsText" text="Complete">
      <formula>NOT(ISERROR(SEARCH("Complete",D9)))</formula>
    </cfRule>
    <cfRule type="containsText" dxfId="9" priority="51" operator="containsText" text="In Progress">
      <formula>NOT(ISERROR(SEARCH("In Progress",D9)))</formula>
    </cfRule>
    <cfRule type="containsText" dxfId="8" priority="52" operator="containsText" text="Not Started">
      <formula>NOT(ISERROR(SEARCH("Not Started",D9)))</formula>
    </cfRule>
  </conditionalFormatting>
  <conditionalFormatting sqref="K8:K11">
    <cfRule type="containsText" dxfId="7" priority="1" stopIfTrue="1" operator="containsText" text="On Hold">
      <formula>NOT(ISERROR(SEARCH("On Hold",K8)))</formula>
    </cfRule>
    <cfRule type="containsText" dxfId="6" priority="2" operator="containsText" text="Complete">
      <formula>NOT(ISERROR(SEARCH("Complete",K8)))</formula>
    </cfRule>
    <cfRule type="containsText" dxfId="5" priority="3" operator="containsText" text="In Progress">
      <formula>NOT(ISERROR(SEARCH("In Progress",K8)))</formula>
    </cfRule>
    <cfRule type="containsText" dxfId="4" priority="4" operator="containsText" text="Not Started">
      <formula>NOT(ISERROR(SEARCH("Not Started",K8)))</formula>
    </cfRule>
  </conditionalFormatting>
  <conditionalFormatting sqref="K16">
    <cfRule type="containsText" dxfId="3" priority="61" stopIfTrue="1" operator="containsText" text="On Hold">
      <formula>NOT(ISERROR(SEARCH("On Hold",K16)))</formula>
    </cfRule>
    <cfRule type="containsText" dxfId="2" priority="62" operator="containsText" text="Complete">
      <formula>NOT(ISERROR(SEARCH("Complete",K16)))</formula>
    </cfRule>
    <cfRule type="containsText" dxfId="1" priority="63" operator="containsText" text="In Progress">
      <formula>NOT(ISERROR(SEARCH("In Progress",K16)))</formula>
    </cfRule>
    <cfRule type="containsText" dxfId="0" priority="64" operator="containsText" text="Not Started">
      <formula>NOT(ISERROR(SEARCH("Not Started",K16)))</formula>
    </cfRule>
  </conditionalFormatting>
  <dataValidations count="1">
    <dataValidation type="list" allowBlank="1" showInputMessage="1" showErrorMessage="1" sqref="D9:D53" xr:uid="{00000000-0002-0000-0000-000000000000}">
      <formula1>$K$8:$K$15</formula1>
    </dataValidation>
  </dataValidations>
  <pageMargins left="0.3" right="0.3" top="0.3" bottom="0.3" header="0" footer="0"/>
  <pageSetup scale="70" fitToHeight="0" orientation="landscape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PROYECTO SOFTWARE ARDUINO CUBO </vt:lpstr>
      <vt:lpstr>'PROYECTO SOFTWARE ARDUINO CUBO 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JHON EMERSON  PEREZ RAMIREZ</cp:lastModifiedBy>
  <dcterms:created xsi:type="dcterms:W3CDTF">2015-02-24T20:54:23Z</dcterms:created>
  <dcterms:modified xsi:type="dcterms:W3CDTF">2026-05-05T14:45:01Z</dcterms:modified>
</cp:coreProperties>
</file>